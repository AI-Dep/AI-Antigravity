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1P1121\Downloads\"/>
    </mc:Choice>
  </mc:AlternateContent>
  <xr:revisionPtr revIDLastSave="0" documentId="13_ncr:1_{E507931C-0644-4AE5-A9F0-0207E57DCD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Y 2024 2025" sheetId="38" r:id="rId1"/>
    <sheet name="Office &amp; Computer Equip" sheetId="8" r:id="rId2"/>
    <sheet name="F&amp;F" sheetId="9" r:id="rId3"/>
    <sheet name="Plant Equip" sheetId="12" r:id="rId4"/>
    <sheet name="LH Improvement" sheetId="27" r:id="rId5"/>
    <sheet name="Disposals FY 2024 2025" sheetId="40" r:id="rId6"/>
    <sheet name="FY 2023 2024" sheetId="36" r:id="rId7"/>
    <sheet name="Disposals FY 2023 2024" sheetId="37" r:id="rId8"/>
    <sheet name="FY 2022 2023" sheetId="34" r:id="rId9"/>
    <sheet name="Disposals FY 2022 2023" sheetId="35" r:id="rId10"/>
    <sheet name="FY 2021 2022" sheetId="32" r:id="rId11"/>
    <sheet name="Disposal FY 2021 2022" sheetId="33" r:id="rId12"/>
    <sheet name="FY 2020 2021" sheetId="29" r:id="rId13"/>
    <sheet name="Disposal FY 2020 2021" sheetId="30" r:id="rId14"/>
    <sheet name="FY 2019 2020" sheetId="26" r:id="rId15"/>
    <sheet name="Disposal FY 2019 2020" sheetId="28" r:id="rId16"/>
    <sheet name="FY 2018 2019" sheetId="24" r:id="rId17"/>
    <sheet name="Disposal FY 2018 2019" sheetId="25" r:id="rId18"/>
    <sheet name="FY 2017 2018" sheetId="21" r:id="rId19"/>
    <sheet name="Disposal FY 2017 2018" sheetId="22" r:id="rId20"/>
    <sheet name="Apr to May reconcile" sheetId="23" r:id="rId21"/>
    <sheet name="FY 2016 2017" sheetId="19" r:id="rId22"/>
    <sheet name="Disposal FY 2016 2017" sheetId="20" r:id="rId23"/>
    <sheet name="FY 2015 2016" sheetId="17" r:id="rId24"/>
    <sheet name="Disposal FY 2015 2016" sheetId="18" r:id="rId25"/>
    <sheet name="FY 2014 2015" sheetId="15" r:id="rId26"/>
    <sheet name="Disposal FY 2014 2015" sheetId="16" r:id="rId27"/>
    <sheet name="FY 2013 2014" sheetId="1" r:id="rId28"/>
    <sheet name="Buildings" sheetId="13" r:id="rId29"/>
    <sheet name="Land" sheetId="14" r:id="rId30"/>
  </sheets>
  <definedNames>
    <definedName name="_xlnm.Print_Titles" localSheetId="20">'Apr to May reconcile'!$1:$6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14" l="1"/>
  <c r="A1" i="13"/>
  <c r="A1" i="1"/>
  <c r="A1" i="15"/>
  <c r="A1" i="17"/>
  <c r="A1" i="20"/>
  <c r="A1" i="19"/>
  <c r="A1" i="23"/>
  <c r="A1" i="22"/>
  <c r="A1" i="21"/>
  <c r="A1" i="25"/>
  <c r="A1" i="24"/>
  <c r="A1" i="28"/>
  <c r="A1" i="26"/>
  <c r="A1" i="30"/>
  <c r="A1" i="29"/>
  <c r="A1" i="33"/>
  <c r="A1" i="32"/>
  <c r="A1" i="35"/>
  <c r="A1" i="37"/>
  <c r="A1" i="34"/>
  <c r="A1" i="36"/>
  <c r="A1" i="40"/>
  <c r="A1" i="27"/>
  <c r="A1" i="12"/>
  <c r="A1" i="9"/>
  <c r="A1" i="8"/>
  <c r="I26" i="40"/>
  <c r="I25" i="40"/>
  <c r="I24" i="40"/>
  <c r="C31" i="38"/>
  <c r="C24" i="38"/>
  <c r="C21" i="38"/>
  <c r="C20" i="38"/>
  <c r="F149" i="8"/>
  <c r="D24" i="38"/>
  <c r="D12" i="38"/>
  <c r="C24" i="40"/>
  <c r="C16" i="40"/>
  <c r="C8" i="38" l="1"/>
  <c r="F112" i="12"/>
  <c r="F113" i="12"/>
  <c r="F115" i="12" l="1"/>
  <c r="C12" i="38" s="1"/>
  <c r="D9" i="40"/>
  <c r="D20" i="36"/>
  <c r="C20" i="36"/>
  <c r="H128" i="37"/>
  <c r="H126" i="37"/>
  <c r="J126" i="37"/>
  <c r="J128" i="37" s="1"/>
  <c r="F109" i="12" l="1"/>
  <c r="C12" i="36" s="1"/>
  <c r="F142" i="8"/>
  <c r="C8" i="36" s="1"/>
  <c r="C31" i="36"/>
  <c r="C24" i="36"/>
  <c r="C21" i="36"/>
  <c r="D8" i="36"/>
  <c r="C115" i="37"/>
  <c r="D116" i="37" s="1"/>
  <c r="D109" i="37"/>
  <c r="C107" i="37"/>
  <c r="B30" i="38"/>
  <c r="E30" i="38" s="1"/>
  <c r="B25" i="38"/>
  <c r="E25" i="38" s="1"/>
  <c r="B23" i="38"/>
  <c r="E23" i="38" s="1"/>
  <c r="B22" i="38"/>
  <c r="E22" i="38" s="1"/>
  <c r="B14" i="38"/>
  <c r="E14" i="38" s="1"/>
  <c r="B13" i="38"/>
  <c r="E13" i="38" s="1"/>
  <c r="B11" i="38"/>
  <c r="E11" i="38" s="1"/>
  <c r="B10" i="38"/>
  <c r="E10" i="38" s="1"/>
  <c r="B9" i="38"/>
  <c r="E9" i="38" s="1"/>
  <c r="H31" i="38"/>
  <c r="C26" i="38"/>
  <c r="D26" i="38"/>
  <c r="E18" i="38"/>
  <c r="B18" i="38"/>
  <c r="C15" i="38"/>
  <c r="D15" i="38"/>
  <c r="D24" i="36"/>
  <c r="D12" i="36"/>
  <c r="D101" i="37"/>
  <c r="D94" i="37"/>
  <c r="D82" i="37"/>
  <c r="C60" i="37"/>
  <c r="D53" i="37"/>
  <c r="D46" i="37"/>
  <c r="D39" i="37"/>
  <c r="D9" i="37"/>
  <c r="C31" i="37"/>
  <c r="C23" i="37"/>
  <c r="D16" i="37"/>
  <c r="C31" i="34"/>
  <c r="C24" i="34"/>
  <c r="C21" i="34"/>
  <c r="C20" i="34"/>
  <c r="F128" i="8"/>
  <c r="F95" i="12"/>
  <c r="D20" i="34"/>
  <c r="D8" i="34"/>
  <c r="D23" i="35"/>
  <c r="D16" i="35"/>
  <c r="B30" i="36"/>
  <c r="E30" i="36" s="1"/>
  <c r="B25" i="36"/>
  <c r="B23" i="36"/>
  <c r="B22" i="36"/>
  <c r="B14" i="36"/>
  <c r="E14" i="36" s="1"/>
  <c r="B13" i="36"/>
  <c r="B11" i="36"/>
  <c r="B10" i="36"/>
  <c r="B9" i="36"/>
  <c r="H31" i="36"/>
  <c r="E25" i="36"/>
  <c r="E23" i="36"/>
  <c r="E22" i="36"/>
  <c r="E18" i="36"/>
  <c r="B18" i="36"/>
  <c r="E13" i="36"/>
  <c r="E11" i="36"/>
  <c r="E10" i="36"/>
  <c r="E9" i="36"/>
  <c r="C108" i="37" l="1"/>
  <c r="C33" i="38"/>
  <c r="C28" i="38"/>
  <c r="D33" i="38"/>
  <c r="D28" i="38"/>
  <c r="D15" i="36"/>
  <c r="D26" i="36"/>
  <c r="C15" i="36"/>
  <c r="C26" i="36"/>
  <c r="D33" i="36" l="1"/>
  <c r="D28" i="36"/>
  <c r="C33" i="36"/>
  <c r="C28" i="36"/>
  <c r="C8" i="34"/>
  <c r="C12" i="34" l="1"/>
  <c r="D9" i="35" l="1"/>
  <c r="C24" i="32" l="1"/>
  <c r="C21" i="32"/>
  <c r="C20" i="32"/>
  <c r="C31" i="32"/>
  <c r="D24" i="32" l="1"/>
  <c r="D12" i="32"/>
  <c r="D73" i="33"/>
  <c r="D20" i="32" l="1"/>
  <c r="D8" i="32"/>
  <c r="D66" i="33"/>
  <c r="C65" i="33"/>
  <c r="C26" i="32" l="1"/>
  <c r="C45" i="33"/>
  <c r="D38" i="33"/>
  <c r="E18" i="32" l="1"/>
  <c r="B18" i="32"/>
  <c r="B18" i="34"/>
  <c r="E18" i="34"/>
  <c r="H31" i="34"/>
  <c r="D26" i="34"/>
  <c r="C26" i="34"/>
  <c r="D15" i="34"/>
  <c r="D33" i="34" s="1"/>
  <c r="C15" i="34"/>
  <c r="C33" i="34" l="1"/>
  <c r="C28" i="34"/>
  <c r="D28" i="34"/>
  <c r="F83" i="12"/>
  <c r="F107" i="8" l="1"/>
  <c r="C8" i="32" l="1"/>
  <c r="C12" i="32" l="1"/>
  <c r="D31" i="33" l="1"/>
  <c r="D23" i="33" l="1"/>
  <c r="D16" i="33" l="1"/>
  <c r="D9" i="33" l="1"/>
  <c r="H31" i="32" l="1"/>
  <c r="D26" i="32"/>
  <c r="C15" i="32"/>
  <c r="C20" i="29"/>
  <c r="C33" i="32" l="1"/>
  <c r="D15" i="32"/>
  <c r="C31" i="29"/>
  <c r="C28" i="32" l="1"/>
  <c r="D28" i="32"/>
  <c r="D33" i="32"/>
  <c r="C24" i="29"/>
  <c r="C21" i="29"/>
  <c r="F70" i="12" l="1"/>
  <c r="F71" i="12" s="1"/>
  <c r="D64" i="30" l="1"/>
  <c r="C63" i="30" s="1"/>
  <c r="D20" i="29" s="1"/>
  <c r="D24" i="29" l="1"/>
  <c r="D12" i="29"/>
  <c r="D54" i="30"/>
  <c r="D47" i="30"/>
  <c r="D40" i="30" l="1"/>
  <c r="F96" i="8" l="1"/>
  <c r="C8" i="29" s="1"/>
  <c r="D33" i="30"/>
  <c r="D26" i="30" l="1"/>
  <c r="C12" i="29" l="1"/>
  <c r="D19" i="30" l="1"/>
  <c r="D8" i="29" s="1"/>
  <c r="D12" i="30" l="1"/>
  <c r="C27" i="26" l="1"/>
  <c r="C24" i="26"/>
  <c r="C23" i="26"/>
  <c r="C33" i="26"/>
  <c r="F86" i="8" l="1"/>
  <c r="D8" i="26" l="1"/>
  <c r="D23" i="26"/>
  <c r="H31" i="29" l="1"/>
  <c r="D26" i="29"/>
  <c r="C26" i="29"/>
  <c r="D15" i="29"/>
  <c r="C15" i="29"/>
  <c r="C33" i="29" l="1"/>
  <c r="C28" i="29"/>
  <c r="D28" i="29"/>
  <c r="D33" i="29"/>
  <c r="D27" i="26"/>
  <c r="C31" i="28"/>
  <c r="C32" i="28" s="1"/>
  <c r="D12" i="26"/>
  <c r="E35" i="9"/>
  <c r="C36" i="28"/>
  <c r="H11" i="27" l="1"/>
  <c r="I11" i="27" s="1"/>
  <c r="C23" i="28" l="1"/>
  <c r="D24" i="28"/>
  <c r="C16" i="28" l="1"/>
  <c r="C8" i="26" l="1"/>
  <c r="F77" i="8" l="1"/>
  <c r="E9" i="27" l="1"/>
  <c r="C17" i="26" l="1"/>
  <c r="F63" i="12"/>
  <c r="F65" i="12" s="1"/>
  <c r="C12" i="26" s="1"/>
  <c r="D29" i="26" l="1"/>
  <c r="B29" i="26"/>
  <c r="D15" i="26"/>
  <c r="C15" i="26"/>
  <c r="B15" i="26"/>
  <c r="B31" i="26" s="1"/>
  <c r="B35" i="26" l="1"/>
  <c r="D35" i="26"/>
  <c r="D31" i="26"/>
  <c r="C29" i="26"/>
  <c r="C31" i="26" s="1"/>
  <c r="H33" i="26"/>
  <c r="E33" i="26"/>
  <c r="B31" i="29" s="1"/>
  <c r="E31" i="29" s="1"/>
  <c r="B31" i="32" s="1"/>
  <c r="E31" i="32" s="1"/>
  <c r="B31" i="34" s="1"/>
  <c r="E31" i="34" s="1"/>
  <c r="B31" i="36" s="1"/>
  <c r="E31" i="36" s="1"/>
  <c r="B31" i="38" s="1"/>
  <c r="E31" i="38" s="1"/>
  <c r="E17" i="26"/>
  <c r="B30" i="32" l="1"/>
  <c r="E30" i="32" s="1"/>
  <c r="B30" i="34" s="1"/>
  <c r="E30" i="34" s="1"/>
  <c r="B30" i="29"/>
  <c r="E30" i="29" s="1"/>
  <c r="C35" i="26"/>
  <c r="E24" i="26"/>
  <c r="B21" i="29" s="1"/>
  <c r="E21" i="29" s="1"/>
  <c r="B21" i="32" s="1"/>
  <c r="E21" i="32" s="1"/>
  <c r="B21" i="34" s="1"/>
  <c r="E21" i="34" s="1"/>
  <c r="B21" i="36" s="1"/>
  <c r="E21" i="36" s="1"/>
  <c r="B21" i="38" s="1"/>
  <c r="E21" i="38" s="1"/>
  <c r="E23" i="26"/>
  <c r="B20" i="29" s="1"/>
  <c r="E27" i="26"/>
  <c r="B24" i="29" s="1"/>
  <c r="E24" i="29" s="1"/>
  <c r="B24" i="32" s="1"/>
  <c r="E24" i="32" s="1"/>
  <c r="B24" i="34" s="1"/>
  <c r="E24" i="34" s="1"/>
  <c r="B24" i="36" s="1"/>
  <c r="E24" i="36" s="1"/>
  <c r="B24" i="38" s="1"/>
  <c r="E24" i="38" s="1"/>
  <c r="E26" i="26"/>
  <c r="E25" i="26"/>
  <c r="E14" i="26"/>
  <c r="E13" i="26"/>
  <c r="E12" i="26"/>
  <c r="B12" i="29" s="1"/>
  <c r="E12" i="29" s="1"/>
  <c r="B12" i="32" s="1"/>
  <c r="E10" i="26"/>
  <c r="E9" i="26"/>
  <c r="B9" i="29" s="1"/>
  <c r="E9" i="29" s="1"/>
  <c r="B9" i="32" s="1"/>
  <c r="E9" i="32" s="1"/>
  <c r="B9" i="34" s="1"/>
  <c r="E9" i="34" s="1"/>
  <c r="E8" i="26"/>
  <c r="B8" i="29" s="1"/>
  <c r="B23" i="32" l="1"/>
  <c r="E23" i="32" s="1"/>
  <c r="B23" i="34" s="1"/>
  <c r="E23" i="34" s="1"/>
  <c r="B23" i="29"/>
  <c r="E23" i="29" s="1"/>
  <c r="B22" i="32"/>
  <c r="E22" i="32" s="1"/>
  <c r="B22" i="34" s="1"/>
  <c r="E22" i="34" s="1"/>
  <c r="B22" i="29"/>
  <c r="E22" i="29" s="1"/>
  <c r="B13" i="32"/>
  <c r="E13" i="32" s="1"/>
  <c r="B13" i="34" s="1"/>
  <c r="E13" i="34" s="1"/>
  <c r="B13" i="29"/>
  <c r="E13" i="29" s="1"/>
  <c r="B10" i="32"/>
  <c r="E10" i="32" s="1"/>
  <c r="B10" i="34" s="1"/>
  <c r="E10" i="34" s="1"/>
  <c r="B10" i="29"/>
  <c r="E10" i="29" s="1"/>
  <c r="B14" i="32"/>
  <c r="E14" i="32" s="1"/>
  <c r="B14" i="34" s="1"/>
  <c r="E14" i="34" s="1"/>
  <c r="B14" i="29"/>
  <c r="E14" i="29" s="1"/>
  <c r="E12" i="32"/>
  <c r="B12" i="34" s="1"/>
  <c r="E12" i="34" s="1"/>
  <c r="B12" i="36" s="1"/>
  <c r="E12" i="36" s="1"/>
  <c r="B12" i="38" s="1"/>
  <c r="E12" i="38" s="1"/>
  <c r="E8" i="29"/>
  <c r="B8" i="32" s="1"/>
  <c r="E8" i="32" s="1"/>
  <c r="B8" i="34" s="1"/>
  <c r="E20" i="29"/>
  <c r="B20" i="32" s="1"/>
  <c r="E28" i="26"/>
  <c r="E11" i="26"/>
  <c r="C25" i="24"/>
  <c r="C22" i="24"/>
  <c r="C21" i="24"/>
  <c r="E15" i="26" l="1"/>
  <c r="E35" i="26" s="1"/>
  <c r="B11" i="32"/>
  <c r="E11" i="32" s="1"/>
  <c r="B11" i="34" s="1"/>
  <c r="E11" i="34" s="1"/>
  <c r="B11" i="29"/>
  <c r="E11" i="29" s="1"/>
  <c r="E29" i="26"/>
  <c r="B25" i="32"/>
  <c r="E25" i="32" s="1"/>
  <c r="B25" i="34" s="1"/>
  <c r="E25" i="34" s="1"/>
  <c r="B25" i="29"/>
  <c r="E20" i="32"/>
  <c r="B26" i="32"/>
  <c r="B15" i="29"/>
  <c r="E8" i="34"/>
  <c r="B15" i="34"/>
  <c r="B15" i="32"/>
  <c r="B33" i="32" s="1"/>
  <c r="E15" i="32"/>
  <c r="E15" i="29"/>
  <c r="E31" i="26" l="1"/>
  <c r="E15" i="34"/>
  <c r="B8" i="36"/>
  <c r="B33" i="29"/>
  <c r="B20" i="34"/>
  <c r="E26" i="32"/>
  <c r="E25" i="29"/>
  <c r="E26" i="29" s="1"/>
  <c r="B26" i="29"/>
  <c r="B28" i="29" s="1"/>
  <c r="E28" i="32"/>
  <c r="E33" i="32"/>
  <c r="B28" i="32"/>
  <c r="E28" i="29"/>
  <c r="E33" i="29"/>
  <c r="F60" i="12"/>
  <c r="B15" i="36" l="1"/>
  <c r="E8" i="36"/>
  <c r="B26" i="34"/>
  <c r="E20" i="34"/>
  <c r="D55" i="25"/>
  <c r="D48" i="25"/>
  <c r="D41" i="25"/>
  <c r="D34" i="25"/>
  <c r="H26" i="25"/>
  <c r="I25" i="25"/>
  <c r="I26" i="25" s="1"/>
  <c r="C25" i="25"/>
  <c r="C10" i="25"/>
  <c r="E15" i="36" l="1"/>
  <c r="B8" i="38"/>
  <c r="E26" i="34"/>
  <c r="B20" i="36"/>
  <c r="B28" i="34"/>
  <c r="B33" i="34"/>
  <c r="E28" i="34"/>
  <c r="E33" i="34"/>
  <c r="C12" i="24"/>
  <c r="C9" i="24"/>
  <c r="E8" i="38" l="1"/>
  <c r="E15" i="38" s="1"/>
  <c r="B15" i="38"/>
  <c r="E20" i="36"/>
  <c r="B26" i="36"/>
  <c r="D12" i="24"/>
  <c r="D11" i="24"/>
  <c r="D25" i="24"/>
  <c r="E26" i="36" l="1"/>
  <c r="B20" i="38"/>
  <c r="B28" i="36"/>
  <c r="B33" i="36"/>
  <c r="C25" i="21"/>
  <c r="C22" i="21"/>
  <c r="C21" i="21"/>
  <c r="E33" i="36" l="1"/>
  <c r="E28" i="36"/>
  <c r="B26" i="38"/>
  <c r="E20" i="38"/>
  <c r="E26" i="38" s="1"/>
  <c r="D27" i="24"/>
  <c r="C27" i="24"/>
  <c r="E25" i="24"/>
  <c r="E24" i="24"/>
  <c r="E23" i="24"/>
  <c r="E22" i="24"/>
  <c r="E21" i="24"/>
  <c r="E12" i="24"/>
  <c r="E10" i="24"/>
  <c r="E9" i="24"/>
  <c r="D15" i="24"/>
  <c r="B33" i="38" l="1"/>
  <c r="B28" i="38"/>
  <c r="E28" i="38"/>
  <c r="E33" i="38"/>
  <c r="D29" i="24"/>
  <c r="F67" i="8" l="1"/>
  <c r="D66" i="22" l="1"/>
  <c r="D12" i="21" l="1"/>
  <c r="D25" i="21"/>
  <c r="D63" i="22"/>
  <c r="C54" i="22" l="1"/>
  <c r="D65" i="22" s="1"/>
  <c r="D67" i="22" s="1"/>
  <c r="D9" i="21" l="1"/>
  <c r="D8" i="21"/>
  <c r="D22" i="21"/>
  <c r="D21" i="21"/>
  <c r="D45" i="22"/>
  <c r="D44" i="22"/>
  <c r="C42" i="22"/>
  <c r="C40" i="22"/>
  <c r="C41" i="22"/>
  <c r="E31" i="9" l="1"/>
  <c r="C8" i="21" l="1"/>
  <c r="E57" i="23"/>
  <c r="D57" i="23"/>
  <c r="E53" i="23"/>
  <c r="D53" i="23"/>
  <c r="E45" i="23"/>
  <c r="D45" i="23"/>
  <c r="F15" i="23"/>
  <c r="E28" i="23"/>
  <c r="E33" i="23" s="1"/>
  <c r="E8" i="23"/>
  <c r="E7" i="23"/>
  <c r="D33" i="23"/>
  <c r="D26" i="23"/>
  <c r="F42" i="12"/>
  <c r="F50" i="12" s="1"/>
  <c r="D59" i="23" l="1"/>
  <c r="E26" i="23"/>
  <c r="E59" i="23" s="1"/>
  <c r="D18" i="22" l="1"/>
  <c r="H13" i="22"/>
  <c r="G13" i="22"/>
  <c r="C12" i="21" l="1"/>
  <c r="C9" i="21"/>
  <c r="C25" i="19" l="1"/>
  <c r="C22" i="19"/>
  <c r="C21" i="19"/>
  <c r="D27" i="21" l="1"/>
  <c r="D15" i="21"/>
  <c r="D29" i="21" l="1"/>
  <c r="C15" i="21"/>
  <c r="C27" i="21"/>
  <c r="F57" i="8"/>
  <c r="C8" i="19" s="1"/>
  <c r="C29" i="21" l="1"/>
  <c r="E20" i="9" l="1"/>
  <c r="C9" i="19" l="1"/>
  <c r="D21" i="19" l="1"/>
  <c r="D8" i="19"/>
  <c r="C18" i="20"/>
  <c r="C21" i="17" l="1"/>
  <c r="C22" i="17"/>
  <c r="C25" i="17"/>
  <c r="E19" i="17"/>
  <c r="B19" i="17"/>
  <c r="F46" i="8"/>
  <c r="D27" i="19" l="1"/>
  <c r="E26" i="19"/>
  <c r="E25" i="19"/>
  <c r="B25" i="21" s="1"/>
  <c r="E25" i="21" s="1"/>
  <c r="E22" i="19"/>
  <c r="B22" i="21" s="1"/>
  <c r="E22" i="21" s="1"/>
  <c r="C27" i="19"/>
  <c r="E21" i="19"/>
  <c r="B21" i="21" s="1"/>
  <c r="D15" i="19"/>
  <c r="D29" i="19" s="1"/>
  <c r="E14" i="19"/>
  <c r="E13" i="19"/>
  <c r="E12" i="19"/>
  <c r="B12" i="21" s="1"/>
  <c r="E12" i="21" s="1"/>
  <c r="E9" i="19"/>
  <c r="B9" i="21" s="1"/>
  <c r="E9" i="21" s="1"/>
  <c r="B26" i="24" l="1"/>
  <c r="B26" i="21"/>
  <c r="E26" i="21" s="1"/>
  <c r="B13" i="24"/>
  <c r="E13" i="24" s="1"/>
  <c r="B13" i="21"/>
  <c r="E13" i="21" s="1"/>
  <c r="B14" i="24"/>
  <c r="E14" i="24" s="1"/>
  <c r="B14" i="21"/>
  <c r="E14" i="21" s="1"/>
  <c r="E21" i="21"/>
  <c r="C15" i="19"/>
  <c r="C29" i="19" s="1"/>
  <c r="E26" i="24" l="1"/>
  <c r="E27" i="24" s="1"/>
  <c r="B27" i="24"/>
  <c r="C9" i="17"/>
  <c r="F37" i="12" l="1"/>
  <c r="C26" i="17" l="1"/>
  <c r="E10" i="14"/>
  <c r="C14" i="17" s="1"/>
  <c r="E10" i="13"/>
  <c r="C13" i="17" s="1"/>
  <c r="F56" i="18" l="1"/>
  <c r="F55" i="18"/>
  <c r="C57" i="18"/>
  <c r="D52" i="18"/>
  <c r="C52" i="18"/>
  <c r="B38" i="18" l="1"/>
  <c r="C39" i="18" s="1"/>
  <c r="C12" i="17" l="1"/>
  <c r="C8" i="17" l="1"/>
  <c r="B18" i="18"/>
  <c r="B20" i="18" s="1"/>
  <c r="B10" i="18"/>
  <c r="D27" i="17" l="1"/>
  <c r="D29" i="17" s="1"/>
  <c r="D15" i="17"/>
  <c r="C15" i="17"/>
  <c r="C27" i="17" l="1"/>
  <c r="C29" i="17" s="1"/>
  <c r="C25" i="15"/>
  <c r="F20" i="12"/>
  <c r="C26" i="15" l="1"/>
  <c r="C22" i="15"/>
  <c r="C21" i="15"/>
  <c r="E10" i="9" l="1"/>
  <c r="F32" i="8" l="1"/>
  <c r="B18" i="16" l="1"/>
  <c r="B19" i="16" s="1"/>
  <c r="E19" i="15" l="1"/>
  <c r="C12" i="1" l="1"/>
  <c r="C8" i="1"/>
  <c r="C9" i="15" l="1"/>
  <c r="C12" i="15"/>
  <c r="C8" i="15"/>
  <c r="D27" i="15" l="1"/>
  <c r="B27" i="15"/>
  <c r="E26" i="15"/>
  <c r="B26" i="17" s="1"/>
  <c r="E26" i="17" s="1"/>
  <c r="E25" i="15"/>
  <c r="B25" i="17" s="1"/>
  <c r="E25" i="17" s="1"/>
  <c r="E24" i="15"/>
  <c r="E23" i="15"/>
  <c r="E22" i="15"/>
  <c r="B22" i="17" s="1"/>
  <c r="E22" i="17" s="1"/>
  <c r="E21" i="15"/>
  <c r="B21" i="17" s="1"/>
  <c r="D15" i="15"/>
  <c r="B15" i="15"/>
  <c r="E14" i="15"/>
  <c r="B14" i="17" s="1"/>
  <c r="E14" i="17" s="1"/>
  <c r="E13" i="15"/>
  <c r="B13" i="17" s="1"/>
  <c r="E13" i="17" s="1"/>
  <c r="E12" i="15"/>
  <c r="B12" i="17" s="1"/>
  <c r="E12" i="17" s="1"/>
  <c r="E11" i="15"/>
  <c r="E10" i="15"/>
  <c r="C15" i="15"/>
  <c r="E8" i="15"/>
  <c r="B23" i="19" l="1"/>
  <c r="B23" i="17"/>
  <c r="E23" i="17" s="1"/>
  <c r="B11" i="19"/>
  <c r="E11" i="19" s="1"/>
  <c r="B11" i="17"/>
  <c r="E11" i="17" s="1"/>
  <c r="B24" i="19"/>
  <c r="E24" i="19" s="1"/>
  <c r="B24" i="21" s="1"/>
  <c r="E24" i="21" s="1"/>
  <c r="B24" i="17"/>
  <c r="E24" i="17" s="1"/>
  <c r="B27" i="17"/>
  <c r="E21" i="17"/>
  <c r="E27" i="17" s="1"/>
  <c r="B10" i="19"/>
  <c r="E10" i="19" s="1"/>
  <c r="B10" i="21" s="1"/>
  <c r="E10" i="21" s="1"/>
  <c r="B10" i="17"/>
  <c r="E10" i="17" s="1"/>
  <c r="D29" i="15"/>
  <c r="B8" i="17"/>
  <c r="E8" i="17" s="1"/>
  <c r="B29" i="15"/>
  <c r="E27" i="15"/>
  <c r="C27" i="15"/>
  <c r="C29" i="15" s="1"/>
  <c r="E9" i="15"/>
  <c r="B11" i="24" l="1"/>
  <c r="E11" i="24" s="1"/>
  <c r="B11" i="21"/>
  <c r="E11" i="21" s="1"/>
  <c r="E23" i="19"/>
  <c r="B27" i="19"/>
  <c r="B15" i="19"/>
  <c r="B29" i="19" s="1"/>
  <c r="E8" i="19"/>
  <c r="E15" i="15"/>
  <c r="E29" i="15" s="1"/>
  <c r="B9" i="17"/>
  <c r="C26" i="1"/>
  <c r="C25" i="1"/>
  <c r="C22" i="1"/>
  <c r="C21" i="1"/>
  <c r="B23" i="21" l="1"/>
  <c r="E27" i="19"/>
  <c r="B15" i="24"/>
  <c r="B29" i="24" s="1"/>
  <c r="E15" i="19"/>
  <c r="E29" i="19" s="1"/>
  <c r="B8" i="21"/>
  <c r="E9" i="17"/>
  <c r="E15" i="17" s="1"/>
  <c r="E29" i="17" s="1"/>
  <c r="B15" i="17"/>
  <c r="B29" i="17" s="1"/>
  <c r="E23" i="21" l="1"/>
  <c r="E27" i="21" s="1"/>
  <c r="B27" i="21"/>
  <c r="E8" i="21"/>
  <c r="E15" i="21" s="1"/>
  <c r="E29" i="21" s="1"/>
  <c r="B15" i="21"/>
  <c r="B29" i="21" s="1"/>
  <c r="C23" i="1"/>
  <c r="C27" i="1" s="1"/>
  <c r="C9" i="1" l="1"/>
  <c r="D27" i="1"/>
  <c r="E26" i="1"/>
  <c r="E25" i="1"/>
  <c r="E24" i="1"/>
  <c r="E23" i="1"/>
  <c r="E22" i="1"/>
  <c r="D15" i="1"/>
  <c r="E14" i="1"/>
  <c r="E13" i="1"/>
  <c r="E12" i="1"/>
  <c r="E11" i="1"/>
  <c r="E10" i="1"/>
  <c r="E9" i="1"/>
  <c r="E8" i="1"/>
  <c r="B27" i="1"/>
  <c r="B15" i="1"/>
  <c r="B29" i="1" l="1"/>
  <c r="D29" i="1"/>
  <c r="E21" i="1"/>
  <c r="E27" i="1" s="1"/>
  <c r="E15" i="1"/>
  <c r="C15" i="1"/>
  <c r="C29" i="1" l="1"/>
  <c r="E29" i="1"/>
  <c r="C8" i="24"/>
  <c r="C15" i="24" s="1"/>
  <c r="C29" i="24" s="1"/>
  <c r="E8" i="24" l="1"/>
  <c r="E15" i="24" s="1"/>
  <c r="E29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Briggs, Abby</author>
  </authors>
  <commentList>
    <comment ref="C4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Briggs, Abby:</t>
        </r>
        <r>
          <rPr>
            <sz val="9"/>
            <color indexed="81"/>
            <rFont val="Tahoma"/>
            <family val="2"/>
          </rPr>
          <t xml:space="preserve">
monthly depr 410.23 x 3 = 1,230.47</t>
        </r>
      </text>
    </comment>
    <comment ref="C5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Briggs, Abby:</t>
        </r>
        <r>
          <rPr>
            <sz val="9"/>
            <color indexed="81"/>
            <rFont val="Tahoma"/>
            <family val="2"/>
          </rPr>
          <t xml:space="preserve">
Feb depr</t>
        </r>
      </text>
    </comment>
  </commentList>
</comments>
</file>

<file path=xl/sharedStrings.xml><?xml version="1.0" encoding="utf-8"?>
<sst xmlns="http://schemas.openxmlformats.org/spreadsheetml/2006/main" count="2092" uniqueCount="754">
  <si>
    <t>Fixed Assets</t>
  </si>
  <si>
    <t>FY 2013 / 2014</t>
  </si>
  <si>
    <t>Furniture &amp; Fixtures</t>
  </si>
  <si>
    <t>Vehicles</t>
  </si>
  <si>
    <t>Tooling Rental Equip</t>
  </si>
  <si>
    <t>Plant Equip</t>
  </si>
  <si>
    <t>Buildings</t>
  </si>
  <si>
    <t>Land</t>
  </si>
  <si>
    <t>Beg Balance</t>
  </si>
  <si>
    <t>@ 4/1/13</t>
  </si>
  <si>
    <t>Additions</t>
  </si>
  <si>
    <t>Disposals</t>
  </si>
  <si>
    <t>End Balance</t>
  </si>
  <si>
    <t>@ 3/31/14</t>
  </si>
  <si>
    <t>Assets</t>
  </si>
  <si>
    <t>Accum Depreciation</t>
  </si>
  <si>
    <t>Fixed Assets Net</t>
  </si>
  <si>
    <t>TB</t>
  </si>
  <si>
    <r>
      <t xml:space="preserve">TB </t>
    </r>
    <r>
      <rPr>
        <b/>
        <sz val="11"/>
        <rFont val="Calibri"/>
        <family val="2"/>
        <scheme val="minor"/>
      </rPr>
      <t>= ok to TB</t>
    </r>
  </si>
  <si>
    <t>Office Equipment</t>
  </si>
  <si>
    <t>Office Equip</t>
  </si>
  <si>
    <t>Date</t>
  </si>
  <si>
    <t>Vendor</t>
  </si>
  <si>
    <t>Item</t>
  </si>
  <si>
    <t>Amount</t>
  </si>
  <si>
    <t>Useful Life</t>
  </si>
  <si>
    <t>Micro Source</t>
  </si>
  <si>
    <t>Dept</t>
  </si>
  <si>
    <t>07MG</t>
  </si>
  <si>
    <t>Serial Number</t>
  </si>
  <si>
    <t>08BG</t>
  </si>
  <si>
    <t>08SG</t>
  </si>
  <si>
    <t>15010-00</t>
  </si>
  <si>
    <t>15050-00</t>
  </si>
  <si>
    <t>15020-00</t>
  </si>
  <si>
    <t>Costco</t>
  </si>
  <si>
    <t>Office Equip 15019</t>
  </si>
  <si>
    <t>Furniture &amp; Fixtures 15029</t>
  </si>
  <si>
    <t>Tooling Rental Equip 15040</t>
  </si>
  <si>
    <t>Plant Equip 15059</t>
  </si>
  <si>
    <t>Buildings 15069</t>
  </si>
  <si>
    <t>√</t>
  </si>
  <si>
    <r>
      <rPr>
        <b/>
        <sz val="11"/>
        <color rgb="FFFF0000"/>
        <rFont val="Calibri"/>
        <family val="2"/>
      </rPr>
      <t>√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= ok to FA report; off .01 PASS</t>
    </r>
  </si>
  <si>
    <t>PY</t>
  </si>
  <si>
    <r>
      <t xml:space="preserve">PY </t>
    </r>
    <r>
      <rPr>
        <b/>
        <sz val="11"/>
        <rFont val="Calibri"/>
        <family val="2"/>
        <scheme val="minor"/>
      </rPr>
      <t>= ok to FA report; off .10 PASS</t>
    </r>
  </si>
  <si>
    <t>Latitude E6540</t>
  </si>
  <si>
    <t>FY 2014 / 2015</t>
  </si>
  <si>
    <t>@ 4/1/14</t>
  </si>
  <si>
    <t>Dell I3847</t>
  </si>
  <si>
    <t>4DT1WZ1</t>
  </si>
  <si>
    <t>04SG</t>
  </si>
  <si>
    <t>08MG</t>
  </si>
  <si>
    <t>Sam's Club</t>
  </si>
  <si>
    <t>Dell 24</t>
  </si>
  <si>
    <t>1VJ3WZ1</t>
  </si>
  <si>
    <t>SAFETY KLEEN</t>
  </si>
  <si>
    <t>Washer model 81.8</t>
  </si>
  <si>
    <t>HF4CXZ1</t>
  </si>
  <si>
    <t>07BG</t>
  </si>
  <si>
    <t>KLD</t>
  </si>
  <si>
    <t>09</t>
  </si>
  <si>
    <t>Lead Master Type 100 - P-testers</t>
  </si>
  <si>
    <t>Amazon</t>
  </si>
  <si>
    <t>4 person workstation</t>
  </si>
  <si>
    <t>07BG, 07MG, 08BG, 08MG</t>
  </si>
  <si>
    <t>FG9N12961396016</t>
  </si>
  <si>
    <t>6XP2YY1</t>
  </si>
  <si>
    <t>07SG</t>
  </si>
  <si>
    <t>173PD12</t>
  </si>
  <si>
    <t>PM0CXZ1</t>
  </si>
  <si>
    <t>8J7TP02</t>
  </si>
  <si>
    <t>7R4CXZ1</t>
  </si>
  <si>
    <t>Brecoflex</t>
  </si>
  <si>
    <t>06</t>
  </si>
  <si>
    <t>Tension Meter Device</t>
  </si>
  <si>
    <t>Cisco Router</t>
  </si>
  <si>
    <t>Project 2013</t>
  </si>
  <si>
    <t>05BG</t>
  </si>
  <si>
    <t>8Q5WJ12</t>
  </si>
  <si>
    <t>9Z72K12</t>
  </si>
  <si>
    <t>Fisher/Unitech</t>
  </si>
  <si>
    <t>Solid Works CAD Software</t>
  </si>
  <si>
    <t>Laser Marking</t>
  </si>
  <si>
    <t>Laser Marking Equipment</t>
  </si>
  <si>
    <t>02</t>
  </si>
  <si>
    <t>Fed Ex</t>
  </si>
  <si>
    <t>Freight for Laser Marking</t>
  </si>
  <si>
    <t>Precision M4800 BTX Base</t>
  </si>
  <si>
    <t>Insprion 3000</t>
  </si>
  <si>
    <t>81FRJ12</t>
  </si>
  <si>
    <t>BNTWP12</t>
  </si>
  <si>
    <t>V226WLBMD</t>
  </si>
  <si>
    <t>Latitude E7240</t>
  </si>
  <si>
    <t>Return E7240 in June</t>
  </si>
  <si>
    <t>McMaster-Carr</t>
  </si>
  <si>
    <t>Parallel Straightedge, 48" long</t>
  </si>
  <si>
    <t>American Hofmann</t>
  </si>
  <si>
    <t>Model MI-2100 SN 20152003</t>
  </si>
  <si>
    <t>CNVXK12</t>
  </si>
  <si>
    <t>CFVXK12</t>
  </si>
  <si>
    <t>Casualty</t>
  </si>
  <si>
    <t>Asset #185 Chris Kuhn</t>
  </si>
  <si>
    <t>3KB8XY1</t>
  </si>
  <si>
    <t>Disposal</t>
  </si>
  <si>
    <t>A/D</t>
  </si>
  <si>
    <t>Asset</t>
  </si>
  <si>
    <t>Gain on disposal</t>
  </si>
  <si>
    <t>Insurance proceeds</t>
  </si>
  <si>
    <t>Chris Kuhn filed a claim via his insurance company.  He</t>
  </si>
  <si>
    <t>was unable to file in KLA name.  He received check from</t>
  </si>
  <si>
    <t>insurance company for $1,632.  Luzia processed a negative</t>
  </si>
  <si>
    <t>expense report and we recorded the $1,632.00 to insurance</t>
  </si>
  <si>
    <t>proceeds.  The entry above negates the insurance proceeds</t>
  </si>
  <si>
    <t>and records as gain on disposal.</t>
  </si>
  <si>
    <t>Proceeds</t>
  </si>
  <si>
    <t>Net Book Value</t>
  </si>
  <si>
    <t>15019-00</t>
  </si>
  <si>
    <t>95500-07SG</t>
  </si>
  <si>
    <t>95300-07SG</t>
  </si>
  <si>
    <t>exclude from cash flow statement</t>
  </si>
  <si>
    <t>Ann Arbor Welding</t>
  </si>
  <si>
    <t>Welder</t>
  </si>
  <si>
    <t>Install Welder</t>
  </si>
  <si>
    <t>8P6GR22</t>
  </si>
  <si>
    <t>OptiPlx 3020 MT</t>
  </si>
  <si>
    <t>Viper 500 K</t>
  </si>
  <si>
    <t>Ormsby Electric</t>
  </si>
  <si>
    <t>Intall receptale for Welder</t>
  </si>
  <si>
    <t>Asset #185 Chris Kuhn's computer lost in flood</t>
  </si>
  <si>
    <t>Uline</t>
  </si>
  <si>
    <t>Reel Rack Starter</t>
  </si>
  <si>
    <t>Viper 500 K Interest</t>
  </si>
  <si>
    <t>FY 2015 / 2016</t>
  </si>
  <si>
    <t>5.27.15</t>
  </si>
  <si>
    <t>Original invoice contained two line items: Router and Service</t>
  </si>
  <si>
    <t>95500-09</t>
  </si>
  <si>
    <t>Loss on disposal</t>
  </si>
  <si>
    <t>router</t>
  </si>
  <si>
    <t>service</t>
  </si>
  <si>
    <t>R2015-0094</t>
  </si>
  <si>
    <t>G2016-50070</t>
  </si>
  <si>
    <t>credit memo</t>
  </si>
  <si>
    <t>Cisco Router - credit memo</t>
  </si>
  <si>
    <t>Cisco Router - JE</t>
  </si>
  <si>
    <t>Asset #313/#335 Cisco Router</t>
  </si>
  <si>
    <t>JE #6691</t>
  </si>
  <si>
    <t>Ingersoll Rand</t>
  </si>
  <si>
    <t>Compressor</t>
  </si>
  <si>
    <t>Oil Water Separator</t>
  </si>
  <si>
    <t>KL</t>
  </si>
  <si>
    <t>Guage</t>
  </si>
  <si>
    <t>per verbal with Alex Duerr</t>
  </si>
  <si>
    <t>Bandsaw 115 V</t>
  </si>
  <si>
    <t>Compressor - electric hook up</t>
  </si>
  <si>
    <t>Compressor - labor to install</t>
  </si>
  <si>
    <t xml:space="preserve">Compressor - intall </t>
  </si>
  <si>
    <t>Methods Machine Tools</t>
  </si>
  <si>
    <t>Plant Equipment</t>
  </si>
  <si>
    <t>Control device complete C20/C28/C27</t>
  </si>
  <si>
    <t>Floyd's Rigging</t>
  </si>
  <si>
    <t>Fanuc C600iA-12 - EDM</t>
  </si>
  <si>
    <t>Unload EDM</t>
  </si>
  <si>
    <t>Grainger</t>
  </si>
  <si>
    <t>Charging/Gauging Kit</t>
  </si>
  <si>
    <t>Per review with Rob Marion, the following assets were deemed as disposable:</t>
  </si>
  <si>
    <t>Asset #4 KOTC Network 3Com port hub</t>
  </si>
  <si>
    <t>Asset #11 HP 1200N Laser Printer - Service</t>
  </si>
  <si>
    <t>Asset #71 HP Printer 2420d</t>
  </si>
  <si>
    <t>Asset #76 Dell Laptop LAT D510</t>
  </si>
  <si>
    <t>Asset #77 Acer Computer</t>
  </si>
  <si>
    <t>Asset #78 Gateway M465-E SB Laptop (FI)</t>
  </si>
  <si>
    <t>Asset #80 Computer Chris Eldred</t>
  </si>
  <si>
    <t>Asset #90 Dell Laptop</t>
  </si>
  <si>
    <t>Asset #91 AD Dell Laptop</t>
  </si>
  <si>
    <t>Asset #97 Beate Laptop</t>
  </si>
  <si>
    <t>Asset #86 Laptop Software</t>
  </si>
  <si>
    <t>JE #</t>
  </si>
  <si>
    <t>Disposed 8.31.15 fully depreciated</t>
  </si>
  <si>
    <t>Various</t>
  </si>
  <si>
    <t>FA clean up</t>
  </si>
  <si>
    <t>Asset #118 and Asset #124 1200 Woodland sale</t>
  </si>
  <si>
    <t>JE  #6938</t>
  </si>
  <si>
    <t>Cash</t>
  </si>
  <si>
    <t>10011-00</t>
  </si>
  <si>
    <t>cash received</t>
  </si>
  <si>
    <t>A/D Buildings</t>
  </si>
  <si>
    <t>15069-00</t>
  </si>
  <si>
    <t>Taxes &amp; Fees - Real Prop</t>
  </si>
  <si>
    <t>76128-09</t>
  </si>
  <si>
    <t>net debits/credits to seller</t>
  </si>
  <si>
    <t>15070-00</t>
  </si>
  <si>
    <t>land</t>
  </si>
  <si>
    <t>15060-00</t>
  </si>
  <si>
    <t>building</t>
  </si>
  <si>
    <t>Gain on sale of FA</t>
  </si>
  <si>
    <t>to dispose of in asset keeper, used % of cash received for gross proceeds</t>
  </si>
  <si>
    <t>x 277,236.85</t>
  </si>
  <si>
    <t>Saw Horse - Heavy Duty</t>
  </si>
  <si>
    <t>3 disposals detailed below</t>
  </si>
  <si>
    <t>Fiber Optic Cable</t>
  </si>
  <si>
    <t>Network Switches</t>
  </si>
  <si>
    <t>8.31.15</t>
  </si>
  <si>
    <t>Asset #123 Irey computer</t>
  </si>
  <si>
    <t>9.30.15</t>
  </si>
  <si>
    <t>to dispose of Frank Irey computer</t>
  </si>
  <si>
    <t>FA disposal</t>
  </si>
  <si>
    <t>Gilpatrick Computer</t>
  </si>
  <si>
    <t>Neagu Computer</t>
  </si>
  <si>
    <t>Saw Horse - 10000</t>
  </si>
  <si>
    <t>Guages for calibrating machines</t>
  </si>
  <si>
    <t>Quesada</t>
  </si>
  <si>
    <t>04BG</t>
  </si>
  <si>
    <t>JE to get remainder off the books</t>
  </si>
  <si>
    <t>Payless Material Handling</t>
  </si>
  <si>
    <t>Teardrop Beams Wired Decking</t>
  </si>
  <si>
    <t>Cisco</t>
  </si>
  <si>
    <t>Phone system</t>
  </si>
  <si>
    <t>FY 2016 / 2017</t>
  </si>
  <si>
    <t>4/1/2016</t>
  </si>
  <si>
    <t>HP DesignJet T120</t>
  </si>
  <si>
    <t>Gray computer</t>
  </si>
  <si>
    <t>Sullivan computer</t>
  </si>
  <si>
    <t>Connell computer</t>
  </si>
  <si>
    <t>04MG</t>
  </si>
  <si>
    <r>
      <t xml:space="preserve">PY </t>
    </r>
    <r>
      <rPr>
        <b/>
        <sz val="11"/>
        <rFont val="Calibri"/>
        <family val="2"/>
        <scheme val="minor"/>
      </rPr>
      <t>= ok to FA report</t>
    </r>
  </si>
  <si>
    <t>FA Disposals</t>
  </si>
  <si>
    <t>FY 2016 2017</t>
  </si>
  <si>
    <t>1.</t>
  </si>
  <si>
    <t>Asset #164 KLSUS0009 Sullivan 3V7GWW1</t>
  </si>
  <si>
    <t>JE #7648</t>
  </si>
  <si>
    <t>2.</t>
  </si>
  <si>
    <t>Asset #321 KLSUS0055 Gray 81FRJ12</t>
  </si>
  <si>
    <t>95500-07BG</t>
  </si>
  <si>
    <t>Crown Lift Trucks</t>
  </si>
  <si>
    <t>Blovsky computer</t>
  </si>
  <si>
    <t>In Plant Office - 04MG</t>
  </si>
  <si>
    <t>In Plant Office - 08BG</t>
  </si>
  <si>
    <t>Haro computer</t>
  </si>
  <si>
    <t>Wei computer</t>
  </si>
  <si>
    <t>Elec Install for IPO 08BG</t>
  </si>
  <si>
    <t>Guertin computer</t>
  </si>
  <si>
    <t>The Floor Trader</t>
  </si>
  <si>
    <t>Flooring for IPO 08BG</t>
  </si>
  <si>
    <t xml:space="preserve">RJN </t>
  </si>
  <si>
    <t>50" LED Display</t>
  </si>
  <si>
    <t>Projector Otpma EH320UST</t>
  </si>
  <si>
    <t>Global</t>
  </si>
  <si>
    <t>70" 9 Drawer Pit Box</t>
  </si>
  <si>
    <t>Blanche Consulting</t>
  </si>
  <si>
    <t>Krishnan computer</t>
  </si>
  <si>
    <t>FY 2017 / 2018</t>
  </si>
  <si>
    <t>JE #7660</t>
  </si>
  <si>
    <t>Computer Asset Mgt</t>
  </si>
  <si>
    <t>Xerox Color WC 7225PT2i</t>
  </si>
  <si>
    <t>Conference Table w/ Chairs</t>
  </si>
  <si>
    <t>Perfection Indus Sales</t>
  </si>
  <si>
    <t>b/c used</t>
  </si>
  <si>
    <t>Glass Display Cabinets</t>
  </si>
  <si>
    <t>Black Granite Surface Plate</t>
  </si>
  <si>
    <t>5-Drawer Rolling Tool Cab</t>
  </si>
  <si>
    <t>Assorted Plastic Bins</t>
  </si>
  <si>
    <t>Cap Pallet Jack</t>
  </si>
  <si>
    <t>(2) Maple Top Workbenches</t>
  </si>
  <si>
    <t>Pallet Truck Scale</t>
  </si>
  <si>
    <t>FY 2017 2018</t>
  </si>
  <si>
    <t>Asset #9 Comp Wrkst INTP3600EB</t>
  </si>
  <si>
    <t>Asset #35 KLUS0021 Tooling Area Computer</t>
  </si>
  <si>
    <t>Asset #79 Acer Computer (EF)</t>
  </si>
  <si>
    <t>Asset #87 Dell Laptop TG</t>
  </si>
  <si>
    <t>Asset #88 Laptop (RP)</t>
  </si>
  <si>
    <t>Asset #94 Laptop (RM)</t>
  </si>
  <si>
    <t>Asset #95 Laptop (JK)</t>
  </si>
  <si>
    <t>Disposed misc computers on 5/19/2017</t>
  </si>
  <si>
    <t>Cost</t>
  </si>
  <si>
    <t>Depr</t>
  </si>
  <si>
    <t>JE #8848</t>
  </si>
  <si>
    <t>Disposed wash station on 5/25/17</t>
  </si>
  <si>
    <t>Asset #197 Washer-Tools s/n 10030566</t>
  </si>
  <si>
    <t>Loss on Disposal</t>
  </si>
  <si>
    <t>95500-02</t>
  </si>
  <si>
    <t>15059-00</t>
  </si>
  <si>
    <t>Office Equip 15010</t>
  </si>
  <si>
    <t>Furniture &amp; Fixtures 15020</t>
  </si>
  <si>
    <t>Plant Equip 15050</t>
  </si>
  <si>
    <t>JE #8857</t>
  </si>
  <si>
    <t>Wash Station</t>
  </si>
  <si>
    <t>Cabinet 59Hx461/2Wx273/4D</t>
  </si>
  <si>
    <t>Stor-Loc</t>
  </si>
  <si>
    <t>Safety Kleen</t>
  </si>
  <si>
    <t>Tool for locking ZARF beraing on HF8000</t>
  </si>
  <si>
    <t>CMC</t>
  </si>
  <si>
    <t>Measuring Disc for Viper</t>
  </si>
  <si>
    <t>April 2017 to May 2017 reconciliation after disposals and class changes</t>
  </si>
  <si>
    <t>Computer</t>
  </si>
  <si>
    <t>Asset #</t>
  </si>
  <si>
    <t>Book Cost</t>
  </si>
  <si>
    <t xml:space="preserve">Book Prior </t>
  </si>
  <si>
    <t>May adj</t>
  </si>
  <si>
    <t>April bal</t>
  </si>
  <si>
    <t>Office</t>
  </si>
  <si>
    <t>Computer RCL</t>
  </si>
  <si>
    <t>Office RCL</t>
  </si>
  <si>
    <t>F&amp;F RCL</t>
  </si>
  <si>
    <t>Computer DISP</t>
  </si>
  <si>
    <t>F&amp;F</t>
  </si>
  <si>
    <t>F&amp;F ADD</t>
  </si>
  <si>
    <t>April depr</t>
  </si>
  <si>
    <t>Plant &amp; Equip</t>
  </si>
  <si>
    <t>Plant &amp; Equip ADD</t>
  </si>
  <si>
    <t>Plant &amp; Equip DISP</t>
  </si>
  <si>
    <t>Tooling Rental</t>
  </si>
  <si>
    <t>Total</t>
  </si>
  <si>
    <t>RCL FROM COMPUTER</t>
  </si>
  <si>
    <t>RCL OFFICE FROM COMPUTER</t>
  </si>
  <si>
    <t>RCL COMPUTER TO F&amp;F</t>
  </si>
  <si>
    <t>RCL COMPUTER TO OFFICE</t>
  </si>
  <si>
    <t>(20) office cubicles</t>
  </si>
  <si>
    <t>RCL</t>
  </si>
  <si>
    <t>Walter USA</t>
  </si>
  <si>
    <t>3.</t>
  </si>
  <si>
    <t>Disposed Hofler assets 7/25/17</t>
  </si>
  <si>
    <t>Asset #201 Tools</t>
  </si>
  <si>
    <t>Asset #202 Furniture</t>
  </si>
  <si>
    <t>Asset #203 Tools</t>
  </si>
  <si>
    <t>Asset #204 Furniture</t>
  </si>
  <si>
    <t>Asset #205 Laser Pritner</t>
  </si>
  <si>
    <t>Asset #206 Furniture</t>
  </si>
  <si>
    <t>15029-00</t>
  </si>
  <si>
    <t>Single Parellel 6FAA</t>
  </si>
  <si>
    <t>Starrett</t>
  </si>
  <si>
    <t>RCL OFFICE TO COMPUTER</t>
  </si>
  <si>
    <t>RCL COMPUTER FROM OFFICE</t>
  </si>
  <si>
    <t>Advanced Industries</t>
  </si>
  <si>
    <t>Wendeplatte Links</t>
  </si>
  <si>
    <t>Wendeplatte Rechts</t>
  </si>
  <si>
    <t>4.</t>
  </si>
  <si>
    <t>JE #9020</t>
  </si>
  <si>
    <t xml:space="preserve">Loss </t>
  </si>
  <si>
    <t>95500-04SG</t>
  </si>
  <si>
    <t>Campbell computer</t>
  </si>
  <si>
    <t>Disposed Viper 500K Delta Research 11/6/2017</t>
  </si>
  <si>
    <t>Asset #331</t>
  </si>
  <si>
    <t>Asset #334</t>
  </si>
  <si>
    <t>Gain</t>
  </si>
  <si>
    <t>JE # 9395</t>
  </si>
  <si>
    <t>JE # 9396</t>
  </si>
  <si>
    <t>net loss on Delta Viper for FY17/18</t>
  </si>
  <si>
    <t xml:space="preserve"> net loss 331 &amp; 334; November 2017</t>
  </si>
  <si>
    <t>300k other income; April-September 2017; received final payment in November 2017</t>
  </si>
  <si>
    <t>Apanasiewicz computer</t>
  </si>
  <si>
    <t>C Axis repair tool</t>
  </si>
  <si>
    <t>Lyons</t>
  </si>
  <si>
    <t>FY 2018 / 2019</t>
  </si>
  <si>
    <t>Siemens</t>
  </si>
  <si>
    <t>Tools to remove G-Axis</t>
  </si>
  <si>
    <t>FY 2018 2019</t>
  </si>
  <si>
    <t>Blvosky computer</t>
  </si>
  <si>
    <t>Loss</t>
  </si>
  <si>
    <t>Boullion computer</t>
  </si>
  <si>
    <t>95500-04BG</t>
  </si>
  <si>
    <t>JE # 9947 / 9961</t>
  </si>
  <si>
    <t>Wolf computer</t>
  </si>
  <si>
    <t>CS200 PC</t>
  </si>
  <si>
    <t>May 2018 - Disposed asset #362 KLUS0067 Blovsky D089N72</t>
  </si>
  <si>
    <t>4/1/2018</t>
  </si>
  <si>
    <t>4/1/2017</t>
  </si>
  <si>
    <t>July 2018 - Disposed 1.27.2017 asset #177 Arcon 12-7, 5" LII 33036; accounting notified in July 2018</t>
  </si>
  <si>
    <t>July 2018 - Disposed asset #37 Electro-Chemical Marking Assembly</t>
  </si>
  <si>
    <t>July 2018 - AAC project asset #30 230 cutter blades</t>
  </si>
  <si>
    <t>15049-00</t>
  </si>
  <si>
    <t>15040-00</t>
  </si>
  <si>
    <t>5.</t>
  </si>
  <si>
    <t>July 2018 - AAC project asset #41 900 cutter blades</t>
  </si>
  <si>
    <t>July 2018 - AAC project asset #45 150 cutter blades</t>
  </si>
  <si>
    <t>6.</t>
  </si>
  <si>
    <t>7.</t>
  </si>
  <si>
    <t>July 2018 - AAC project asset #61 375 cutter blades</t>
  </si>
  <si>
    <t>JE # 10143</t>
  </si>
  <si>
    <t>JE # 10144</t>
  </si>
  <si>
    <t>JE # 10145</t>
  </si>
  <si>
    <t>JE # 10146</t>
  </si>
  <si>
    <t>JE # 10147</t>
  </si>
  <si>
    <t>HW/JB</t>
  </si>
  <si>
    <t>RM</t>
  </si>
  <si>
    <t>AR</t>
  </si>
  <si>
    <t>FA</t>
  </si>
  <si>
    <t>GAIN</t>
  </si>
  <si>
    <t>Recorded as a sale to a customer in error</t>
  </si>
  <si>
    <t>85 Inch Sony HS Smart LED TV</t>
  </si>
  <si>
    <t>JE # 10148</t>
  </si>
  <si>
    <t>PC Hardware P40</t>
  </si>
  <si>
    <t>Shallow Depth Cabinet</t>
  </si>
  <si>
    <t>Cassette, 9 Deburring Blades B27</t>
  </si>
  <si>
    <t>Meteorit (check stick blades)</t>
  </si>
  <si>
    <t>Brennan computer</t>
  </si>
  <si>
    <t xml:space="preserve">LLS </t>
  </si>
  <si>
    <t>shipping for BC12 615014</t>
  </si>
  <si>
    <t>BC12 615014</t>
  </si>
  <si>
    <t>Lyons Tool &amp; Eng</t>
  </si>
  <si>
    <t>Viper 500W regenative grinder</t>
  </si>
  <si>
    <t>Pascal computer</t>
  </si>
  <si>
    <t>Juergen computer</t>
  </si>
  <si>
    <t>Accu-Cut, Inc.</t>
  </si>
  <si>
    <t>Lifting Device</t>
  </si>
  <si>
    <t>UPS FRGT</t>
  </si>
  <si>
    <t>freight for lifting device</t>
  </si>
  <si>
    <t>Sakowski computer</t>
  </si>
  <si>
    <t>4/1/2019</t>
  </si>
  <si>
    <t>FY 2019 / 2020</t>
  </si>
  <si>
    <t>LH Improvements</t>
  </si>
  <si>
    <t>20 year; SL</t>
  </si>
  <si>
    <t>76220-09</t>
  </si>
  <si>
    <t>Thomson Reuters</t>
  </si>
  <si>
    <t>Bearing SKF NU 2322 ECMA</t>
  </si>
  <si>
    <t>Roughness Probe</t>
  </si>
  <si>
    <t>LH Improvement</t>
  </si>
  <si>
    <t>15080-00</t>
  </si>
  <si>
    <t>HIDC</t>
  </si>
  <si>
    <t>Shop bathrooms - remodel</t>
  </si>
  <si>
    <t>Shop bathrooms - remodel addt'l inv</t>
  </si>
  <si>
    <t>FY 2019 2020</t>
  </si>
  <si>
    <t xml:space="preserve"> Aug 2019 - Disposed asset #350 KLUS0061 Criss HLNYX52 - rental car break-in</t>
  </si>
  <si>
    <t>07 Service computers x5</t>
  </si>
  <si>
    <t>07xx</t>
  </si>
  <si>
    <t>Effgen</t>
  </si>
  <si>
    <t>Grinding Wheel x 4 E2011, E2012, E2015, E2016</t>
  </si>
  <si>
    <t>GHA Tech</t>
  </si>
  <si>
    <t>Xerox copier</t>
  </si>
  <si>
    <t>Berleth computer</t>
  </si>
  <si>
    <t>Briggs computer</t>
  </si>
  <si>
    <t>JE # 11190</t>
  </si>
  <si>
    <t>Disposed in DEC 2019 instead of OCT 2019 in error</t>
  </si>
  <si>
    <t>JE # 11553</t>
  </si>
  <si>
    <t>Amort LH Improvement 15089-00</t>
  </si>
  <si>
    <t>JE # 11573</t>
  </si>
  <si>
    <t>Jan 2020 - Disposed of asset #'s 50, 52 and 66; Grinding Wheels per JB 1.17.2020</t>
  </si>
  <si>
    <t>Budget</t>
  </si>
  <si>
    <t>Office space</t>
  </si>
  <si>
    <t xml:space="preserve"> Dec 2019 - Disposed asset #409 KLUS0078 Berleth 1J40752 - rental car break-in</t>
  </si>
  <si>
    <t>Damovo</t>
  </si>
  <si>
    <t>Cisco phone system upgrade</t>
  </si>
  <si>
    <t>Balestrieri computer</t>
  </si>
  <si>
    <t>March 2020 Tooling -02 disposals as a result of dept review by Jaclyn Harris (Bauer)</t>
  </si>
  <si>
    <t>Asset 31</t>
  </si>
  <si>
    <t>Asset 34</t>
  </si>
  <si>
    <t>Asset 58</t>
  </si>
  <si>
    <t>Asset 60</t>
  </si>
  <si>
    <t>Asset 68</t>
  </si>
  <si>
    <t>Asset 83</t>
  </si>
  <si>
    <t>Asset 117</t>
  </si>
  <si>
    <t>Asset 62</t>
  </si>
  <si>
    <t>31; 117; 34; 58; 60; 62; 68; 83;</t>
  </si>
  <si>
    <t>FY 2020 2021</t>
  </si>
  <si>
    <t>March 2020 - Disposed asset #149</t>
  </si>
  <si>
    <t>JE # 11739</t>
  </si>
  <si>
    <t>JE # 11740</t>
  </si>
  <si>
    <t>hard drive upgrade</t>
  </si>
  <si>
    <t>Blanche Consulting LLC BC-1154 2.21.2020</t>
  </si>
  <si>
    <t>76210-09</t>
  </si>
  <si>
    <t>Blanche Consulting LLC BC-1154C 4.27.2020</t>
  </si>
  <si>
    <t>original invoice</t>
  </si>
  <si>
    <t>JE # 11903</t>
  </si>
  <si>
    <t>Asset #428 - April 2020 - disposed of Balestrieri computer due to COVID and maternity leave</t>
  </si>
  <si>
    <t>EUROBOOR ECO.52 2-SPD Gear Box</t>
  </si>
  <si>
    <t>Asset #89 - May 2020 - disposed of HP 4250n LaserJet Printer s/n CNRXR62902</t>
  </si>
  <si>
    <t>JE # 11996</t>
  </si>
  <si>
    <t>GHA Technologies</t>
  </si>
  <si>
    <t>Kershner computer</t>
  </si>
  <si>
    <t>Clamping chuck 477163$</t>
  </si>
  <si>
    <t>05</t>
  </si>
  <si>
    <t>Asset #133 - Jan 2021 - disposed of SAP009 Xerox Fax</t>
  </si>
  <si>
    <t>Tooling area computer</t>
  </si>
  <si>
    <t>Asset #306 - Jan 2021 - disposed KLUS0044 Bauer 5SHBRY1</t>
  </si>
  <si>
    <t>JE # 12617</t>
  </si>
  <si>
    <t>JE # 12635</t>
  </si>
  <si>
    <t>Martinez computer</t>
  </si>
  <si>
    <t>Bauer computer</t>
  </si>
  <si>
    <t>Hale computer</t>
  </si>
  <si>
    <t>Rehmel computer</t>
  </si>
  <si>
    <t>Grappin computer</t>
  </si>
  <si>
    <t>JE # 12637</t>
  </si>
  <si>
    <t>Asset #109 - Feb 2021 - disposed Tooling KLUS0021 MXL1211MLL</t>
  </si>
  <si>
    <t>Suburban Tool</t>
  </si>
  <si>
    <t>48 inch Cast Iron Straight Edge</t>
  </si>
  <si>
    <t>Asset #207 - Mar 2021 - disposed Small Tools 2001</t>
  </si>
  <si>
    <t>Asset #208 - Mar 2021 - disposed 2003 Assets</t>
  </si>
  <si>
    <t>JE # 12737</t>
  </si>
  <si>
    <t>JE # 12738</t>
  </si>
  <si>
    <t>8.</t>
  </si>
  <si>
    <t>Asset #'s:</t>
  </si>
  <si>
    <t>FA review and clean up - Mar 2021 - disposed computers</t>
  </si>
  <si>
    <t>9.</t>
  </si>
  <si>
    <t>Asset # 187 - KLUS0029 NIU 6446H02</t>
  </si>
  <si>
    <t>on asset list; cannot find computer</t>
  </si>
  <si>
    <t>Rob Marion talked to Philip Boullion, Jessica Kershner</t>
  </si>
  <si>
    <t>possible explanations:</t>
  </si>
  <si>
    <t>loaned to Andy Rivera for company use (no longer with the company)</t>
  </si>
  <si>
    <t>loaned to service</t>
  </si>
  <si>
    <t>parts used for inventory re-labeling project</t>
  </si>
  <si>
    <t>JE # 12749</t>
  </si>
  <si>
    <t>JE # 12750</t>
  </si>
  <si>
    <t>10.</t>
  </si>
  <si>
    <t>Assets not on asset list, but disposed on 3.16.2021</t>
  </si>
  <si>
    <t>* * * for record keeping purposes only * * *</t>
  </si>
  <si>
    <t>L3-BX035</t>
  </si>
  <si>
    <t>IBM Think Pad</t>
  </si>
  <si>
    <t>L3-1R9B8</t>
  </si>
  <si>
    <t>R8-0YC9Z</t>
  </si>
  <si>
    <t>R8-2LT3L</t>
  </si>
  <si>
    <t>R8-W3F5A</t>
  </si>
  <si>
    <t xml:space="preserve">L3-D3209 </t>
  </si>
  <si>
    <t>I0223762</t>
  </si>
  <si>
    <t>WINBOOK</t>
  </si>
  <si>
    <t>2ZFB801</t>
  </si>
  <si>
    <t>HBXCW01</t>
  </si>
  <si>
    <t>3V7GWW1</t>
  </si>
  <si>
    <t>Dell Inspiron 18000</t>
  </si>
  <si>
    <t>Dell Inspiron</t>
  </si>
  <si>
    <t>D089N72</t>
  </si>
  <si>
    <t>DELL Latitude E6530 KLUS0009</t>
  </si>
  <si>
    <t>DELL Latitude E5570 KLUS0067</t>
  </si>
  <si>
    <t>CNC3CKG15H</t>
  </si>
  <si>
    <t>paper tray</t>
  </si>
  <si>
    <t>CNC4190096</t>
  </si>
  <si>
    <t>CN4ASD32G0</t>
  </si>
  <si>
    <t>HP Office Jet Pro 8610</t>
  </si>
  <si>
    <t>CN3CQF4K6H</t>
  </si>
  <si>
    <t>HP Office Jet Pro Premium 8600</t>
  </si>
  <si>
    <t>CN419F40PM</t>
  </si>
  <si>
    <t>NBR656631</t>
  </si>
  <si>
    <t>Phaser 3300MFP Xerox</t>
  </si>
  <si>
    <t>CNBCC22589</t>
  </si>
  <si>
    <t>HP Q 2473A Laser Jet 2300</t>
  </si>
  <si>
    <t>11.</t>
  </si>
  <si>
    <t>Asset # 121 - KLUS0022 Guertin D2SS5S1</t>
  </si>
  <si>
    <t>FY 2021 2022</t>
  </si>
  <si>
    <t xml:space="preserve">JE # </t>
  </si>
  <si>
    <t>JobSite Box 20 CU FT CAP BLUE #499N06</t>
  </si>
  <si>
    <t>4/1/2020</t>
  </si>
  <si>
    <t>Asset #327 - April 2021 - disposed of KLSU0059 Frey CFVXK12</t>
  </si>
  <si>
    <t>JE # 12896</t>
  </si>
  <si>
    <t>Millan computer</t>
  </si>
  <si>
    <t>Riser computer</t>
  </si>
  <si>
    <t>JobSite Box item # 499N11</t>
  </si>
  <si>
    <t>JE # 12942</t>
  </si>
  <si>
    <t>Asset #195 - May 2021 - disposed of KLUS0031 Plank 1VJ3WZ1</t>
  </si>
  <si>
    <t>JE # 12965</t>
  </si>
  <si>
    <t>Asset #330 - May 2021 - disposed of KLUS0060 Millan 8P6GR22</t>
  </si>
  <si>
    <t>JE # 12990</t>
  </si>
  <si>
    <t>Asset #103 - May 2021 - BC10 scrapped</t>
  </si>
  <si>
    <t>Clamping Fixture</t>
  </si>
  <si>
    <t>Test Flange x2</t>
  </si>
  <si>
    <t>Plank computer</t>
  </si>
  <si>
    <t>Heidenhain</t>
  </si>
  <si>
    <t>Diagnostics Kit PWT 101 A</t>
  </si>
  <si>
    <t>Base Plate</t>
  </si>
  <si>
    <t>Asset #175 - Sept 2021 - disposed of Avaya phone system</t>
  </si>
  <si>
    <t>JE # 13274</t>
  </si>
  <si>
    <t>Wolfe computer</t>
  </si>
  <si>
    <t>S7 Cast Iron Straight Edge</t>
  </si>
  <si>
    <t>Hoffman Group</t>
  </si>
  <si>
    <t>S7 Square Frame Level</t>
  </si>
  <si>
    <t>Stefanski computer</t>
  </si>
  <si>
    <t>Test Gear Z63 31'30 (RE)</t>
  </si>
  <si>
    <t>Diamond dressing roll (set)</t>
  </si>
  <si>
    <t>FY 2022 2023</t>
  </si>
  <si>
    <t>95500-08BG</t>
  </si>
  <si>
    <t>JE # 13767</t>
  </si>
  <si>
    <t>Asset #338 - Feb 2022 - Gauge (customer AAM lost)</t>
  </si>
  <si>
    <t>Asset #338 - Feb 2022 - Gauge (customer AAM lost) - ADJ to gain/loss current month depr included Feb</t>
  </si>
  <si>
    <t>Assets:</t>
  </si>
  <si>
    <t>JE # 13786</t>
  </si>
  <si>
    <t>Computer annual review resulted in 13 disposals from asset list</t>
  </si>
  <si>
    <t>Computer annual review resulted in 7 disposals not on asset list</t>
  </si>
  <si>
    <t>JE # 13844</t>
  </si>
  <si>
    <t xml:space="preserve">Asset #55 - Sylvac D100S Gauge </t>
  </si>
  <si>
    <t>JE # 13847</t>
  </si>
  <si>
    <t>Asset #53 - April 2022 - disposed of B27 Grinding Wheel E0517</t>
  </si>
  <si>
    <t>JE # 13964</t>
  </si>
  <si>
    <t>Machine reference point gauge XYZ</t>
  </si>
  <si>
    <t>KLA Asset #</t>
  </si>
  <si>
    <t>KLD 5158605</t>
  </si>
  <si>
    <t>KL 95017337</t>
  </si>
  <si>
    <t>Measuring column</t>
  </si>
  <si>
    <t>Measuring thorn</t>
  </si>
  <si>
    <t>Criss computer</t>
  </si>
  <si>
    <t>Senters computer</t>
  </si>
  <si>
    <t>Boggeln computer</t>
  </si>
  <si>
    <t>Dell Business Credit</t>
  </si>
  <si>
    <t>1B5TGL3</t>
  </si>
  <si>
    <t>595TGL3</t>
  </si>
  <si>
    <t>7B57GLS</t>
  </si>
  <si>
    <t>8C5TGL3</t>
  </si>
  <si>
    <t>Service Office computer</t>
  </si>
  <si>
    <t>Sharon computer</t>
  </si>
  <si>
    <t>CPRDXP3</t>
  </si>
  <si>
    <t>GSPY2Q3</t>
  </si>
  <si>
    <t>464</t>
  </si>
  <si>
    <t>Sonicwall Network Equip</t>
  </si>
  <si>
    <t>KLD 5160529</t>
  </si>
  <si>
    <t>Extended MFL Test Master</t>
  </si>
  <si>
    <t>Marion computer</t>
  </si>
  <si>
    <t>Kreichelt computer</t>
  </si>
  <si>
    <t>D5QNML3</t>
  </si>
  <si>
    <t>7MRPPL3</t>
  </si>
  <si>
    <t>GHA</t>
  </si>
  <si>
    <t>Video Conferencing MVC840</t>
  </si>
  <si>
    <t>Dell Financial Srvs</t>
  </si>
  <si>
    <t>Auten computer</t>
  </si>
  <si>
    <t>22356S3</t>
  </si>
  <si>
    <t>Willson computer</t>
  </si>
  <si>
    <t>GZL5SL3</t>
  </si>
  <si>
    <t>Cherne computer</t>
  </si>
  <si>
    <t>5YR19R3</t>
  </si>
  <si>
    <t>Medvec computer</t>
  </si>
  <si>
    <t>6YR19R3</t>
  </si>
  <si>
    <t>KLD 5166598</t>
  </si>
  <si>
    <t>KLD 5166603</t>
  </si>
  <si>
    <t>Interfrach SORD00009804</t>
  </si>
  <si>
    <t>Optical tool box</t>
  </si>
  <si>
    <t>Optical tool box KLD freight</t>
  </si>
  <si>
    <t>Venti Lync Voice Set Up</t>
  </si>
  <si>
    <t>Venti SMB Professional Srv</t>
  </si>
  <si>
    <t>Gilpatrick computer</t>
  </si>
  <si>
    <t>6NQBXL3</t>
  </si>
  <si>
    <t>FY 2023 2024</t>
  </si>
  <si>
    <t>Asset #126 - March 2023</t>
  </si>
  <si>
    <t>Asset #154 - March 2023 - JobBoss seats; replaced with Cloud Host</t>
  </si>
  <si>
    <t>JE # 14836</t>
  </si>
  <si>
    <t>JE # 14837</t>
  </si>
  <si>
    <t>Optical tool box duty</t>
  </si>
  <si>
    <t>KL 95017806</t>
  </si>
  <si>
    <t>KLD 5167068</t>
  </si>
  <si>
    <t>Interfrach SORD00009486</t>
  </si>
  <si>
    <t>Gripper Fingers</t>
  </si>
  <si>
    <t>Gripper Fingers freight</t>
  </si>
  <si>
    <t>Gripper Fingers cutoms/duty</t>
  </si>
  <si>
    <t>Bahnmiller computer</t>
  </si>
  <si>
    <t>9XJKTV3</t>
  </si>
  <si>
    <t>C5TTHS3</t>
  </si>
  <si>
    <t>JE # 15032</t>
  </si>
  <si>
    <t>JE # 15033</t>
  </si>
  <si>
    <t>JE # 15034</t>
  </si>
  <si>
    <t>JE # 15035</t>
  </si>
  <si>
    <t>Tooling Coord computer</t>
  </si>
  <si>
    <t>JBWPHS3</t>
  </si>
  <si>
    <t>Asset #104 - April 2023 - disposed of B27 Grinding Wheel E1049 (1 of 4); vendor damaged</t>
  </si>
  <si>
    <t>Asset #111 - April 2023 - disposed of B27 Grinding Wheel E1148 (1 of 6); vendor damaged</t>
  </si>
  <si>
    <t>Asset #421 - April 2023 - disposed of B27 Grinding Wheel E2012; vendor damaged</t>
  </si>
  <si>
    <t>Asset #423 - April 2023 - disposed of B27 Grinding Wheel E2016; vendor damaged</t>
  </si>
  <si>
    <t>Service Tech computer</t>
  </si>
  <si>
    <t>3HF0LS3</t>
  </si>
  <si>
    <t>HVR7LS3</t>
  </si>
  <si>
    <t>FZD6DX3</t>
  </si>
  <si>
    <t xml:space="preserve">Gear Engine software server </t>
  </si>
  <si>
    <t>BVMYKS3</t>
  </si>
  <si>
    <t>Lasercomp</t>
  </si>
  <si>
    <t>SAP016</t>
  </si>
  <si>
    <t>SAP015</t>
  </si>
  <si>
    <t>Asset #115 June 2023 - disposed of SAP007 Xerox WorkCentre 7120 Front Office</t>
  </si>
  <si>
    <t>Asset #119 June 2023 - disposed of SAP008 Xerox WorkCentre 7120 Srv Office</t>
  </si>
  <si>
    <t>Asset #374 June 2023 - disposed of SAP013 XeroxColor WC 72259t2i Parts Office</t>
  </si>
  <si>
    <t>JE # 15189</t>
  </si>
  <si>
    <t>JE # 15190</t>
  </si>
  <si>
    <t>JE # 15191</t>
  </si>
  <si>
    <t>Xerox VersaLink C7100-service</t>
  </si>
  <si>
    <t>Xerox VersaLink C7100-lobby</t>
  </si>
  <si>
    <t>Xerox VersaLink C7100-parts</t>
  </si>
  <si>
    <t>SAP017</t>
  </si>
  <si>
    <t>Effgen/Interfracht</t>
  </si>
  <si>
    <t>B27 Grinding Wheels E2416</t>
  </si>
  <si>
    <t>B27 Grinding Wheels E2417</t>
  </si>
  <si>
    <t>B27 Grinding Wheels E2418</t>
  </si>
  <si>
    <t>B27 Grinding Wheels E2419</t>
  </si>
  <si>
    <t>KLD A2024-0238</t>
  </si>
  <si>
    <t>Demo P40 down payment</t>
  </si>
  <si>
    <t>Asset #400 July 2023 - disposed Sony 85" LED TV</t>
  </si>
  <si>
    <t>Parts Coord computer</t>
  </si>
  <si>
    <t>BDK8YW3</t>
  </si>
  <si>
    <t>Parallel Straightedge, 72" long</t>
  </si>
  <si>
    <t>Asset #508 Sept 2023 - should not have been a FA yet</t>
  </si>
  <si>
    <t>deleted asset in Sept 2023</t>
  </si>
  <si>
    <t>updated depr entry for Sept 2023 $596.05</t>
  </si>
  <si>
    <t>addt'l AJE to unwind Aug 2023 $596.05</t>
  </si>
  <si>
    <t>addt'l AJE to unwind Jul 2023 $596.05</t>
  </si>
  <si>
    <t>Asset #49 - Oct 2023 - disposed of B27 Grinding Wheel E0515</t>
  </si>
  <si>
    <t>Best Buy via exp rprt</t>
  </si>
  <si>
    <t>75" TV for trade shows</t>
  </si>
  <si>
    <t>75G22344H00106</t>
  </si>
  <si>
    <t>31RSMX3</t>
  </si>
  <si>
    <t>SL Munson &amp; Co</t>
  </si>
  <si>
    <t>Diamond Dressing Roller</t>
  </si>
  <si>
    <t>Lead Master</t>
  </si>
  <si>
    <t>KLD/Interfrach</t>
  </si>
  <si>
    <t>3GNQLX3</t>
  </si>
  <si>
    <t>Asset #209/211/214/217/218/219 - Feb 2024 - disposed of 2006-2012 tools</t>
  </si>
  <si>
    <t>per email 2.27.24 from Randy to Mike to Abby:</t>
  </si>
  <si>
    <t>"My guess these were service engineer tools and other tools that Bernd bought way back …for all the machines and they were never properly identified."</t>
  </si>
  <si>
    <t>"... I just confirmed all service engineers had tool boxes and that there were still plenty of items back on the shelf</t>
  </si>
  <si>
    <t>and I am sure that is what these are but with out an itemized list I was not able to confirm 100%."</t>
  </si>
  <si>
    <t>12.</t>
  </si>
  <si>
    <t>Asset #323 - March 2024 - disposed of KLUS0057 Server for SV FZTLM22</t>
  </si>
  <si>
    <t>JE # 15910</t>
  </si>
  <si>
    <t>JE # 15860</t>
  </si>
  <si>
    <t>disposal not in FC Q3 or FY 24 25 Budget</t>
  </si>
  <si>
    <t>13.</t>
  </si>
  <si>
    <t>Asset #57 - Mar 2024 - disposed of Sylvac D100S Gauge SN 5101</t>
  </si>
  <si>
    <t>JE # 15911</t>
  </si>
  <si>
    <t>FY 2024 2025</t>
  </si>
  <si>
    <t>14.</t>
  </si>
  <si>
    <t>Assets - March 2024 - 110, 151, 153, 182, 196, 198, 351, 354, 359, 366, 392, 396, 398, 412, 415, 418, 496</t>
  </si>
  <si>
    <t>Assets - March 2024 - 365, 367, 373, 393, 401</t>
  </si>
  <si>
    <t>asset #496</t>
  </si>
  <si>
    <t>JE # 15943</t>
  </si>
  <si>
    <t>JE # 15960</t>
  </si>
  <si>
    <t>KLD 5175424</t>
  </si>
  <si>
    <t>Tooling R300 AAM</t>
  </si>
  <si>
    <t>KLD 5175431</t>
  </si>
  <si>
    <t>Freight for asset #516</t>
  </si>
  <si>
    <t>516/517</t>
  </si>
  <si>
    <t>Interfract SORD 00025002</t>
  </si>
  <si>
    <t>HFV6R14</t>
  </si>
  <si>
    <t>JOBOX</t>
  </si>
  <si>
    <t xml:space="preserve">Asset #51 - April 2024 - disposed of B27 Grinding Wheel E0423 </t>
  </si>
  <si>
    <t>JE # 16133</t>
  </si>
  <si>
    <t>Cavenaugh computer</t>
  </si>
  <si>
    <t>DT6WJ24</t>
  </si>
  <si>
    <t>521/522/523</t>
  </si>
  <si>
    <t>P40 Demo 602571</t>
  </si>
  <si>
    <t>KLD x 2; Lamprecht</t>
  </si>
  <si>
    <t>524/525/526</t>
  </si>
  <si>
    <t>KLD x 2; Interfracht</t>
  </si>
  <si>
    <t>Hopkins computer</t>
  </si>
  <si>
    <t>6MZYK24</t>
  </si>
  <si>
    <t>SRV-02DB</t>
  </si>
  <si>
    <t>95500-05BG</t>
  </si>
  <si>
    <t>SV 300 Tooling</t>
  </si>
  <si>
    <t>Asset #516 - March 2025 - was on loan and now sold to AAM - invoiced AAM 8,414.00</t>
  </si>
  <si>
    <t>Asset #517 - March 2025 - was on loan and now sold to AAM - invoiced AAM 1,562.00</t>
  </si>
  <si>
    <t>Grassel computer</t>
  </si>
  <si>
    <t>8B8GJ64</t>
  </si>
  <si>
    <t>total proceeds</t>
  </si>
  <si>
    <t>gain to put on FIT payable wp</t>
  </si>
  <si>
    <t>loss recorded in acct 95500-08BG</t>
  </si>
  <si>
    <t>AA Inc</t>
  </si>
  <si>
    <t>Returned to credit memo received</t>
  </si>
  <si>
    <t>Cisco router was returned to</t>
  </si>
  <si>
    <t xml:space="preserve"> issued credit memo for Router only.</t>
  </si>
  <si>
    <t>pd 694,500 + 27,347.87 interest</t>
  </si>
  <si>
    <t>Delta pd  850k + 55k interest</t>
  </si>
  <si>
    <t>invoice #0223152 1.27.17; prior FYE netted to loss</t>
  </si>
  <si>
    <t xml:space="preserve"> Entry to reverse Feb and March depr</t>
  </si>
  <si>
    <t>generated CM</t>
  </si>
  <si>
    <t>JE #11903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</si>
</sst>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0" xfId="0" applyNumberFormat="1"/>
    <xf numFmtId="43" fontId="0" fillId="0" borderId="2" xfId="0" applyNumberFormat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3" fontId="0" fillId="0" borderId="3" xfId="0" applyNumberForma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0" applyNumberFormat="1" applyBorder="1" applyAlignment="1">
      <alignment horizontal="right"/>
    </xf>
    <xf numFmtId="43" fontId="0" fillId="0" borderId="1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43" fontId="0" fillId="0" borderId="0" xfId="0" quotePrefix="1" applyNumberFormat="1" applyAlignment="1">
      <alignment horizontal="center"/>
    </xf>
    <xf numFmtId="43" fontId="0" fillId="2" borderId="3" xfId="0" applyNumberFormat="1" applyFill="1" applyBorder="1"/>
    <xf numFmtId="0" fontId="4" fillId="0" borderId="0" xfId="0" applyFont="1" applyAlignment="1">
      <alignment horizontal="center"/>
    </xf>
    <xf numFmtId="14" fontId="0" fillId="0" borderId="0" xfId="0" applyNumberFormat="1"/>
    <xf numFmtId="43" fontId="0" fillId="0" borderId="0" xfId="0" quotePrefix="1" applyNumberFormat="1" applyAlignment="1">
      <alignment horizontal="left"/>
    </xf>
    <xf numFmtId="14" fontId="0" fillId="0" borderId="1" xfId="0" quotePrefix="1" applyNumberForma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3" fillId="0" borderId="0" xfId="0" quotePrefix="1" applyFont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3" fontId="0" fillId="0" borderId="1" xfId="0" applyNumberFormat="1" applyBorder="1"/>
    <xf numFmtId="0" fontId="0" fillId="0" borderId="9" xfId="0" applyBorder="1"/>
    <xf numFmtId="0" fontId="6" fillId="0" borderId="0" xfId="0" applyFont="1"/>
    <xf numFmtId="0" fontId="0" fillId="0" borderId="11" xfId="0" applyBorder="1"/>
    <xf numFmtId="43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3" fontId="0" fillId="0" borderId="16" xfId="0" applyNumberFormat="1" applyBorder="1"/>
    <xf numFmtId="0" fontId="0" fillId="0" borderId="17" xfId="0" applyBorder="1"/>
    <xf numFmtId="0" fontId="0" fillId="0" borderId="10" xfId="0" applyBorder="1"/>
    <xf numFmtId="43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quotePrefix="1"/>
    <xf numFmtId="43" fontId="0" fillId="2" borderId="0" xfId="0" applyNumberFormat="1" applyFill="1"/>
    <xf numFmtId="14" fontId="3" fillId="0" borderId="4" xfId="0" applyNumberFormat="1" applyFont="1" applyBorder="1"/>
    <xf numFmtId="43" fontId="3" fillId="0" borderId="0" xfId="0" applyNumberFormat="1" applyFont="1"/>
    <xf numFmtId="43" fontId="3" fillId="0" borderId="2" xfId="0" applyNumberFormat="1" applyFont="1" applyBorder="1"/>
    <xf numFmtId="0" fontId="0" fillId="2" borderId="0" xfId="0" applyFill="1"/>
    <xf numFmtId="0" fontId="2" fillId="0" borderId="0" xfId="0" applyFont="1" applyAlignment="1">
      <alignment horizontal="left"/>
    </xf>
    <xf numFmtId="43" fontId="0" fillId="3" borderId="2" xfId="0" applyNumberFormat="1" applyFill="1" applyBorder="1"/>
    <xf numFmtId="44" fontId="0" fillId="0" borderId="0" xfId="0" applyNumberFormat="1" applyAlignment="1">
      <alignment horizontal="left"/>
    </xf>
    <xf numFmtId="0" fontId="7" fillId="0" borderId="0" xfId="0" applyFont="1"/>
    <xf numFmtId="43" fontId="8" fillId="0" borderId="0" xfId="0" applyNumberFormat="1" applyFont="1"/>
    <xf numFmtId="17" fontId="0" fillId="0" borderId="0" xfId="0" applyNumberFormat="1"/>
    <xf numFmtId="0" fontId="6" fillId="0" borderId="0" xfId="0" applyFont="1" applyAlignment="1">
      <alignment vertical="center"/>
    </xf>
    <xf numFmtId="14" fontId="3" fillId="2" borderId="4" xfId="0" applyNumberFormat="1" applyFont="1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43" fontId="0" fillId="2" borderId="1" xfId="0" applyNumberFormat="1" applyFill="1" applyBorder="1"/>
    <xf numFmtId="0" fontId="0" fillId="2" borderId="9" xfId="0" applyFill="1" applyBorder="1"/>
    <xf numFmtId="14" fontId="3" fillId="4" borderId="4" xfId="0" applyNumberFormat="1" applyFont="1" applyFill="1" applyBorder="1"/>
    <xf numFmtId="0" fontId="0" fillId="4" borderId="2" xfId="0" applyFill="1" applyBorder="1"/>
    <xf numFmtId="0" fontId="0" fillId="4" borderId="5" xfId="0" applyFill="1" applyBorder="1"/>
    <xf numFmtId="0" fontId="0" fillId="4" borderId="6" xfId="0" applyFill="1" applyBorder="1"/>
    <xf numFmtId="43" fontId="0" fillId="4" borderId="0" xfId="0" applyNumberFormat="1" applyFill="1"/>
    <xf numFmtId="0" fontId="0" fillId="4" borderId="7" xfId="0" applyFill="1" applyBorder="1"/>
    <xf numFmtId="0" fontId="0" fillId="4" borderId="8" xfId="0" applyFill="1" applyBorder="1"/>
    <xf numFmtId="43" fontId="0" fillId="4" borderId="1" xfId="0" applyNumberFormat="1" applyFill="1" applyBorder="1"/>
    <xf numFmtId="0" fontId="0" fillId="4" borderId="9" xfId="0" applyFill="1" applyBorder="1"/>
    <xf numFmtId="14" fontId="3" fillId="5" borderId="4" xfId="0" applyNumberFormat="1" applyFont="1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6" xfId="0" applyFill="1" applyBorder="1"/>
    <xf numFmtId="43" fontId="0" fillId="5" borderId="0" xfId="0" applyNumberFormat="1" applyFill="1"/>
    <xf numFmtId="0" fontId="0" fillId="5" borderId="7" xfId="0" applyFill="1" applyBorder="1"/>
    <xf numFmtId="0" fontId="0" fillId="5" borderId="8" xfId="0" applyFill="1" applyBorder="1"/>
    <xf numFmtId="43" fontId="0" fillId="5" borderId="1" xfId="0" applyNumberFormat="1" applyFill="1" applyBorder="1"/>
    <xf numFmtId="0" fontId="0" fillId="5" borderId="9" xfId="0" applyFill="1" applyBorder="1"/>
    <xf numFmtId="14" fontId="3" fillId="6" borderId="4" xfId="0" applyNumberFormat="1" applyFont="1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6" xfId="0" applyFill="1" applyBorder="1"/>
    <xf numFmtId="43" fontId="0" fillId="6" borderId="0" xfId="0" applyNumberFormat="1" applyFill="1"/>
    <xf numFmtId="0" fontId="0" fillId="6" borderId="7" xfId="0" applyFill="1" applyBorder="1"/>
    <xf numFmtId="0" fontId="0" fillId="6" borderId="8" xfId="0" applyFill="1" applyBorder="1"/>
    <xf numFmtId="43" fontId="0" fillId="6" borderId="1" xfId="0" applyNumberFormat="1" applyFill="1" applyBorder="1"/>
    <xf numFmtId="0" fontId="0" fillId="6" borderId="9" xfId="0" applyFill="1" applyBorder="1"/>
    <xf numFmtId="0" fontId="0" fillId="0" borderId="7" xfId="0" applyBorder="1" applyAlignment="1">
      <alignment horizontal="left"/>
    </xf>
    <xf numFmtId="0" fontId="0" fillId="0" borderId="7" xfId="0" quotePrefix="1" applyBorder="1" applyAlignment="1">
      <alignment horizontal="left"/>
    </xf>
    <xf numFmtId="14" fontId="0" fillId="7" borderId="0" xfId="0" applyNumberFormat="1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43" fontId="0" fillId="7" borderId="0" xfId="0" applyNumberFormat="1" applyFill="1"/>
    <xf numFmtId="43" fontId="0" fillId="7" borderId="0" xfId="0" quotePrefix="1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32</xdr:row>
      <xdr:rowOff>12700</xdr:rowOff>
    </xdr:from>
    <xdr:to>
      <xdr:col>4</xdr:col>
      <xdr:colOff>165100</xdr:colOff>
      <xdr:row>32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9469B9-6542-0FC7-9F8C-37D0FCD58B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610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165100</xdr:colOff>
      <xdr:row>14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B43537-F0B5-BB64-9E8A-78F9AF0B5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575" y="26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4</xdr:col>
      <xdr:colOff>12700</xdr:colOff>
      <xdr:row>32</xdr:row>
      <xdr:rowOff>12700</xdr:rowOff>
    </xdr:from>
    <xdr:to>
      <xdr:col>4</xdr:col>
      <xdr:colOff>165100</xdr:colOff>
      <xdr:row>32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44AC6F-239A-85E1-6B6E-30BCD8E485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0900" y="610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143</xdr:row>
      <xdr:rowOff>12700</xdr:rowOff>
    </xdr:from>
    <xdr:to>
      <xdr:col>5</xdr:col>
      <xdr:colOff>165100</xdr:colOff>
      <xdr:row>143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36D215-B7BA-FE39-9FF3-7F0461D84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725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144</xdr:row>
      <xdr:rowOff>12700</xdr:rowOff>
    </xdr:from>
    <xdr:to>
      <xdr:col>5</xdr:col>
      <xdr:colOff>165100</xdr:colOff>
      <xdr:row>144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2A90C3-2DA7-3A67-B9A5-FBD98C8BE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744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145</xdr:row>
      <xdr:rowOff>12700</xdr:rowOff>
    </xdr:from>
    <xdr:to>
      <xdr:col>5</xdr:col>
      <xdr:colOff>165100</xdr:colOff>
      <xdr:row>145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19BD60-31A3-9756-6F07-CD73B1D53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76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146</xdr:row>
      <xdr:rowOff>12700</xdr:rowOff>
    </xdr:from>
    <xdr:to>
      <xdr:col>5</xdr:col>
      <xdr:colOff>165100</xdr:colOff>
      <xdr:row>146</xdr:row>
      <xdr:rowOff>165100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72A6B9-F6C1-1EE0-5E3A-18E30E530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782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147</xdr:row>
      <xdr:rowOff>12700</xdr:rowOff>
    </xdr:from>
    <xdr:to>
      <xdr:col>5</xdr:col>
      <xdr:colOff>165100</xdr:colOff>
      <xdr:row>147</xdr:row>
      <xdr:rowOff>165100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FE9F83-9056-A883-34CD-370D218B9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801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148</xdr:row>
      <xdr:rowOff>12700</xdr:rowOff>
    </xdr:from>
    <xdr:to>
      <xdr:col>5</xdr:col>
      <xdr:colOff>165100</xdr:colOff>
      <xdr:row>148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CE5837-4942-BDA6-FD3D-1D7A26A8A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7725" y="2820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110</xdr:row>
      <xdr:rowOff>12700</xdr:rowOff>
    </xdr:from>
    <xdr:to>
      <xdr:col>5</xdr:col>
      <xdr:colOff>165100</xdr:colOff>
      <xdr:row>110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FA81C6-F874-7088-0173-F906B69D0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096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112</xdr:row>
      <xdr:rowOff>12700</xdr:rowOff>
    </xdr:from>
    <xdr:to>
      <xdr:col>5</xdr:col>
      <xdr:colOff>165100</xdr:colOff>
      <xdr:row>112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AD49B7-2C63-1D4D-2EDB-0A585B799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134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111</xdr:row>
      <xdr:rowOff>12700</xdr:rowOff>
    </xdr:from>
    <xdr:to>
      <xdr:col>5</xdr:col>
      <xdr:colOff>165100</xdr:colOff>
      <xdr:row>111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4FC750-6483-3F5A-7737-11D588F62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115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113</xdr:row>
      <xdr:rowOff>12700</xdr:rowOff>
    </xdr:from>
    <xdr:to>
      <xdr:col>5</xdr:col>
      <xdr:colOff>165100</xdr:colOff>
      <xdr:row>113</xdr:row>
      <xdr:rowOff>165100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84C220-36DD-C62B-F08D-FFEE81E37A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153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114</xdr:row>
      <xdr:rowOff>12700</xdr:rowOff>
    </xdr:from>
    <xdr:to>
      <xdr:col>5</xdr:col>
      <xdr:colOff>165100</xdr:colOff>
      <xdr:row>114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D50370-6BAC-A50C-259F-D1B0F89326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725" y="2172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6</xdr:row>
      <xdr:rowOff>12700</xdr:rowOff>
    </xdr:from>
    <xdr:to>
      <xdr:col>4</xdr:col>
      <xdr:colOff>165100</xdr:colOff>
      <xdr:row>6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8942C7-8EA1-4065-16BA-37D54466A9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115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4</xdr:col>
      <xdr:colOff>12700</xdr:colOff>
      <xdr:row>13</xdr:row>
      <xdr:rowOff>12700</xdr:rowOff>
    </xdr:from>
    <xdr:to>
      <xdr:col>4</xdr:col>
      <xdr:colOff>165100</xdr:colOff>
      <xdr:row>13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54FBAD-0059-29F9-0EFB-FDFA53AE1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248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  <xdr:twoCellAnchor>
    <xdr:from>
      <xdr:col>4</xdr:col>
      <xdr:colOff>12700</xdr:colOff>
      <xdr:row>21</xdr:row>
      <xdr:rowOff>12700</xdr:rowOff>
    </xdr:from>
    <xdr:to>
      <xdr:col>4</xdr:col>
      <xdr:colOff>165100</xdr:colOff>
      <xdr:row>21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8130B9-E3B0-8E27-8D6D-441B3EF61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401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>
                  <a:alpha val="0"/>
                </a:schemeClr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1CA1-2B40-41FA-984C-3731F6AA228D}">
  <sheetPr>
    <tabColor rgb="FF00B050"/>
  </sheetPr>
  <dimension ref="A1:I39"/>
  <sheetViews>
    <sheetView tabSelected="1" workbookViewId="0">
      <selection activeCell="I20" sqref="I20"/>
    </sheetView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t="s">
        <v>744</v>
      </c>
    </row>
    <row r="2" spans="1:6" x14ac:dyDescent="0.3">
      <c r="A2" t="s">
        <v>0</v>
      </c>
    </row>
    <row r="3" spans="1:6" x14ac:dyDescent="0.3">
      <c r="A3" t="s">
        <v>708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45383</v>
      </c>
      <c r="C6" s="4" t="s">
        <v>10</v>
      </c>
      <c r="D6" s="4" t="s">
        <v>11</v>
      </c>
      <c r="E6" s="24">
        <v>45747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2023 2024'!E8</f>
        <v>223153.15000000008</v>
      </c>
      <c r="C8" s="5">
        <f>+'Office &amp; Computer Equip'!F149</f>
        <v>6924.27</v>
      </c>
      <c r="D8" s="5"/>
      <c r="E8" s="5">
        <f>SUM(B8:D8)</f>
        <v>230077.42000000007</v>
      </c>
      <c r="F8" s="8" t="s">
        <v>17</v>
      </c>
    </row>
    <row r="9" spans="1:6" x14ac:dyDescent="0.3">
      <c r="A9" t="s">
        <v>282</v>
      </c>
      <c r="B9" s="5">
        <f>+'FY 2023 2024'!E9</f>
        <v>163707.1</v>
      </c>
      <c r="C9" s="5"/>
      <c r="D9" s="5"/>
      <c r="E9" s="5">
        <f t="shared" ref="E9:E14" si="0">SUM(B9:D9)</f>
        <v>163707.1</v>
      </c>
      <c r="F9" s="8" t="s">
        <v>17</v>
      </c>
    </row>
    <row r="10" spans="1:6" x14ac:dyDescent="0.3">
      <c r="A10" t="s">
        <v>3</v>
      </c>
      <c r="B10" s="5">
        <f>+'FY 2023 2024'!E10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2023 2024'!E11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2023 2024'!E12</f>
        <v>2128559.56</v>
      </c>
      <c r="C12" s="5">
        <f>'Plant Equip'!F115</f>
        <v>313251.47000000003</v>
      </c>
      <c r="D12" s="5">
        <f>-6080.33-1487.3-7064.99</f>
        <v>-14632.619999999999</v>
      </c>
      <c r="E12" s="5">
        <f t="shared" si="0"/>
        <v>2427178.41</v>
      </c>
      <c r="F12" s="8" t="s">
        <v>17</v>
      </c>
    </row>
    <row r="13" spans="1:6" x14ac:dyDescent="0.3">
      <c r="A13" t="s">
        <v>6</v>
      </c>
      <c r="B13" s="5">
        <f>+'FY 2023 2024'!E13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2023 2024'!E14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2515419.81</v>
      </c>
      <c r="C15" s="6">
        <f t="shared" ref="C15:E15" si="1">SUM(C8:C14)</f>
        <v>320175.74000000005</v>
      </c>
      <c r="D15" s="6">
        <f t="shared" si="1"/>
        <v>-14632.619999999999</v>
      </c>
      <c r="E15" s="55">
        <f t="shared" si="1"/>
        <v>2820962.93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24">
        <f>+B6</f>
        <v>45383</v>
      </c>
      <c r="C18" s="4" t="s">
        <v>10</v>
      </c>
      <c r="D18" s="4" t="s">
        <v>11</v>
      </c>
      <c r="E18" s="24">
        <f>+E6</f>
        <v>45747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2023 2024'!E20</f>
        <v>-166839</v>
      </c>
      <c r="C20" s="5">
        <f>-1603.32-991.63-1522.69-991.64-1554.58-991.64-1554.59-991.65-1553.36-991.61-1301.43-991.65-1238-980.26-1154.59-995.7-1154.62-995.73-1154.62-995.73-1154.61-995.7-1154.6-698.78</f>
        <v>-27712.729999999996</v>
      </c>
      <c r="D20" s="5"/>
      <c r="E20" s="5">
        <f>SUM(B20:D20)</f>
        <v>-194551.72999999998</v>
      </c>
      <c r="F20" s="8" t="s">
        <v>17</v>
      </c>
    </row>
    <row r="21" spans="1:9" x14ac:dyDescent="0.3">
      <c r="A21" t="s">
        <v>37</v>
      </c>
      <c r="B21" s="5">
        <f>+'FY 2023 2024'!E21</f>
        <v>-146811.74000000005</v>
      </c>
      <c r="C21" s="5">
        <f>-692.84-625.81-625.86-597.61-597.63-597.6-597.6-597.62-597.62-597.63-597.6-597.66</f>
        <v>-7323.0800000000008</v>
      </c>
      <c r="D21" s="5"/>
      <c r="E21" s="5">
        <f t="shared" ref="E21:E25" si="2">SUM(B21:D21)</f>
        <v>-154134.82000000004</v>
      </c>
      <c r="F21" s="8" t="s">
        <v>17</v>
      </c>
    </row>
    <row r="22" spans="1:9" x14ac:dyDescent="0.3">
      <c r="A22" t="s">
        <v>3</v>
      </c>
      <c r="B22" s="5">
        <f>+'FY 2023 2024'!E22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2023 2024'!E23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2023 2024'!E24</f>
        <v>-1961529.66</v>
      </c>
      <c r="C24" s="5">
        <f>-4473.95-4412.4-6376.73-6376.79-6376.79-6376.81-6376.78-6268.25-6268.35-6224.64-6213.08-6472.35</f>
        <v>-72216.92</v>
      </c>
      <c r="D24" s="5">
        <f>6080.33+765.37+161.12</f>
        <v>7006.82</v>
      </c>
      <c r="E24" s="5">
        <f t="shared" si="2"/>
        <v>-2026739.7599999998</v>
      </c>
      <c r="F24" s="8" t="s">
        <v>17</v>
      </c>
    </row>
    <row r="25" spans="1:9" x14ac:dyDescent="0.3">
      <c r="A25" t="s">
        <v>40</v>
      </c>
      <c r="B25" s="5">
        <f>+'FY 2023 2024'!E25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-2275180.4</v>
      </c>
      <c r="C26" s="6">
        <f t="shared" ref="C26:E26" si="3">SUM(C20:C25)</f>
        <v>-107252.73</v>
      </c>
      <c r="D26" s="6">
        <f t="shared" si="3"/>
        <v>7006.82</v>
      </c>
      <c r="E26" s="6">
        <f t="shared" si="3"/>
        <v>-2375426.3099999996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240239.41000000015</v>
      </c>
      <c r="C28" s="6">
        <f>+C15+C26</f>
        <v>212923.01000000007</v>
      </c>
      <c r="D28" s="6">
        <f>+D15+D26</f>
        <v>-7625.7999999999993</v>
      </c>
      <c r="E28" s="55">
        <f>+E15+E26</f>
        <v>445536.62000000058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2023 2024'!E30</f>
        <v>41752.9</v>
      </c>
      <c r="C30" s="5"/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2023 2024'!E31</f>
        <v>-10573.390000000001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-12723.910000000002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271418.92000000004</v>
      </c>
      <c r="C33" s="10">
        <f>+C15+C30+C26+C31</f>
        <v>210772.49000000008</v>
      </c>
      <c r="D33" s="10">
        <f>+D15+D30+D26+D31</f>
        <v>-7625.7999999999993</v>
      </c>
      <c r="E33" s="20">
        <f>+E15+E30+E26+E31</f>
        <v>474565.61000000051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149"/>
  <sheetViews>
    <sheetView workbookViewId="0">
      <pane ySplit="6" topLeftCell="A137" activePane="bottomLeft" state="frozen"/>
      <selection pane="bottomLeft"/>
    </sheetView>
  </sheetViews>
  <sheetFormatPr defaultRowHeight="14.4" x14ac:dyDescent="0.3"/>
  <cols>
    <col min="1" max="2" width="14" style="11" customWidth="1"/>
    <col min="3" max="3" width="18.6640625" customWidth="1"/>
    <col min="4" max="4" width="26.109375" customWidth="1"/>
    <col min="5" max="5" width="15.88671875" style="1" customWidth="1"/>
    <col min="6" max="6" width="11.6640625" style="5" customWidth="1"/>
    <col min="7" max="7" width="11.6640625" style="17" customWidth="1"/>
    <col min="8" max="8" width="14.33203125" style="1" customWidth="1"/>
  </cols>
  <sheetData>
    <row r="1" spans="1:8" x14ac:dyDescent="0.3">
      <c r="A1" s="11" t="str">
        <f>'FY 2024 2025'!$A$1</f>
        <v>AA Inc</v>
      </c>
    </row>
    <row r="2" spans="1:8" x14ac:dyDescent="0.3">
      <c r="A2" s="11" t="s">
        <v>19</v>
      </c>
    </row>
    <row r="3" spans="1:8" x14ac:dyDescent="0.3">
      <c r="A3" s="11" t="s">
        <v>32</v>
      </c>
    </row>
    <row r="5" spans="1:8" x14ac:dyDescent="0.3">
      <c r="A5" s="18"/>
      <c r="B5" s="18"/>
    </row>
    <row r="6" spans="1:8" x14ac:dyDescent="0.3">
      <c r="A6" s="13" t="s">
        <v>21</v>
      </c>
      <c r="B6" s="13" t="s">
        <v>580</v>
      </c>
      <c r="C6" s="14" t="s">
        <v>22</v>
      </c>
      <c r="D6" s="14" t="s">
        <v>23</v>
      </c>
      <c r="E6" s="4" t="s">
        <v>29</v>
      </c>
      <c r="F6" s="15" t="s">
        <v>24</v>
      </c>
      <c r="G6" s="16" t="s">
        <v>27</v>
      </c>
      <c r="H6" s="4" t="s">
        <v>25</v>
      </c>
    </row>
    <row r="8" spans="1:8" x14ac:dyDescent="0.3">
      <c r="A8" s="12">
        <v>41757</v>
      </c>
      <c r="B8" s="12"/>
      <c r="C8" t="s">
        <v>35</v>
      </c>
      <c r="D8" t="s">
        <v>48</v>
      </c>
      <c r="F8" s="5">
        <v>670.79</v>
      </c>
      <c r="G8" s="17" t="s">
        <v>30</v>
      </c>
      <c r="H8" s="1">
        <v>3</v>
      </c>
    </row>
    <row r="9" spans="1:8" x14ac:dyDescent="0.3">
      <c r="A9" s="12">
        <v>41758</v>
      </c>
      <c r="B9" s="12"/>
      <c r="C9" t="s">
        <v>26</v>
      </c>
      <c r="D9" t="s">
        <v>45</v>
      </c>
      <c r="E9" s="1" t="s">
        <v>49</v>
      </c>
      <c r="F9" s="5">
        <v>1837.14</v>
      </c>
      <c r="G9" s="17" t="s">
        <v>50</v>
      </c>
      <c r="H9" s="1">
        <v>3</v>
      </c>
    </row>
    <row r="10" spans="1:8" x14ac:dyDescent="0.3">
      <c r="A10" s="12">
        <v>41761</v>
      </c>
      <c r="B10" s="12"/>
      <c r="C10" t="s">
        <v>26</v>
      </c>
      <c r="D10" t="s">
        <v>45</v>
      </c>
      <c r="E10" s="1" t="s">
        <v>54</v>
      </c>
      <c r="F10" s="5">
        <v>1837.14</v>
      </c>
      <c r="G10" s="17" t="s">
        <v>28</v>
      </c>
      <c r="H10" s="1">
        <v>3</v>
      </c>
    </row>
    <row r="11" spans="1:8" x14ac:dyDescent="0.3">
      <c r="A11" s="12">
        <v>41771</v>
      </c>
      <c r="B11" s="12"/>
      <c r="C11" t="s">
        <v>52</v>
      </c>
      <c r="D11" t="s">
        <v>53</v>
      </c>
      <c r="F11" s="5">
        <v>740.94</v>
      </c>
      <c r="G11" s="17" t="s">
        <v>51</v>
      </c>
      <c r="H11" s="1">
        <v>3</v>
      </c>
    </row>
    <row r="12" spans="1:8" x14ac:dyDescent="0.3">
      <c r="A12" s="12">
        <v>41800</v>
      </c>
      <c r="B12" s="12"/>
      <c r="C12" t="s">
        <v>26</v>
      </c>
      <c r="D12" t="s">
        <v>45</v>
      </c>
      <c r="E12" s="1" t="s">
        <v>57</v>
      </c>
      <c r="F12" s="5">
        <v>1571.51</v>
      </c>
      <c r="G12" s="17" t="s">
        <v>58</v>
      </c>
      <c r="H12" s="1">
        <v>3</v>
      </c>
    </row>
    <row r="13" spans="1:8" x14ac:dyDescent="0.3">
      <c r="A13" s="12">
        <v>41803</v>
      </c>
      <c r="B13" s="12"/>
      <c r="C13" t="s">
        <v>26</v>
      </c>
      <c r="D13" t="s">
        <v>45</v>
      </c>
      <c r="E13" s="1" t="s">
        <v>65</v>
      </c>
      <c r="F13" s="5">
        <v>1653.18</v>
      </c>
      <c r="G13" s="19" t="s">
        <v>60</v>
      </c>
      <c r="H13" s="1">
        <v>3</v>
      </c>
    </row>
    <row r="14" spans="1:8" x14ac:dyDescent="0.3">
      <c r="A14" s="12">
        <v>41803</v>
      </c>
      <c r="B14" s="12"/>
      <c r="C14" t="s">
        <v>26</v>
      </c>
      <c r="D14" t="s">
        <v>92</v>
      </c>
      <c r="E14" s="1" t="s">
        <v>66</v>
      </c>
      <c r="F14" s="5">
        <v>1869.77</v>
      </c>
      <c r="G14" s="19" t="s">
        <v>60</v>
      </c>
      <c r="H14" s="1">
        <v>3</v>
      </c>
    </row>
    <row r="15" spans="1:8" x14ac:dyDescent="0.3">
      <c r="A15" s="12">
        <v>41813</v>
      </c>
      <c r="B15" s="12"/>
      <c r="C15" t="s">
        <v>26</v>
      </c>
      <c r="D15" t="s">
        <v>45</v>
      </c>
      <c r="E15" s="1" t="s">
        <v>68</v>
      </c>
      <c r="F15" s="5">
        <v>1528.53</v>
      </c>
      <c r="G15" s="17" t="s">
        <v>67</v>
      </c>
      <c r="H15" s="1">
        <v>3</v>
      </c>
    </row>
    <row r="16" spans="1:8" x14ac:dyDescent="0.3">
      <c r="A16" s="12">
        <v>41813</v>
      </c>
      <c r="B16" s="12"/>
      <c r="C16" t="s">
        <v>26</v>
      </c>
      <c r="D16" t="s">
        <v>45</v>
      </c>
      <c r="E16" s="1" t="s">
        <v>69</v>
      </c>
      <c r="F16" s="5">
        <v>1528.53</v>
      </c>
      <c r="G16" s="17" t="s">
        <v>67</v>
      </c>
      <c r="H16" s="1">
        <v>3</v>
      </c>
    </row>
    <row r="17" spans="1:8" x14ac:dyDescent="0.3">
      <c r="A17" s="12">
        <v>41813</v>
      </c>
      <c r="B17" s="12"/>
      <c r="C17" t="s">
        <v>26</v>
      </c>
      <c r="D17" t="s">
        <v>45</v>
      </c>
      <c r="E17" s="1" t="s">
        <v>70</v>
      </c>
      <c r="F17" s="5">
        <v>764.77</v>
      </c>
      <c r="G17" s="19" t="s">
        <v>60</v>
      </c>
      <c r="H17" s="1">
        <v>3</v>
      </c>
    </row>
    <row r="18" spans="1:8" x14ac:dyDescent="0.3">
      <c r="A18" s="12">
        <v>41828</v>
      </c>
      <c r="B18" s="12"/>
      <c r="C18" t="s">
        <v>26</v>
      </c>
      <c r="D18" t="s">
        <v>45</v>
      </c>
      <c r="E18" s="1" t="s">
        <v>71</v>
      </c>
      <c r="F18" s="5">
        <v>1538.65</v>
      </c>
      <c r="G18" s="19" t="s">
        <v>60</v>
      </c>
      <c r="H18" s="1">
        <v>3</v>
      </c>
    </row>
    <row r="19" spans="1:8" x14ac:dyDescent="0.3">
      <c r="A19" s="12">
        <v>41878</v>
      </c>
      <c r="B19" s="12"/>
      <c r="C19" t="s">
        <v>59</v>
      </c>
      <c r="D19" t="s">
        <v>75</v>
      </c>
      <c r="F19" s="5">
        <v>2222.15</v>
      </c>
      <c r="G19" s="19" t="s">
        <v>60</v>
      </c>
      <c r="H19" s="1">
        <v>3</v>
      </c>
    </row>
    <row r="20" spans="1:8" x14ac:dyDescent="0.3">
      <c r="A20" s="12">
        <v>41855</v>
      </c>
      <c r="B20" s="12"/>
      <c r="C20" t="s">
        <v>26</v>
      </c>
      <c r="D20" t="s">
        <v>76</v>
      </c>
      <c r="F20" s="5">
        <v>566.04</v>
      </c>
      <c r="G20" s="19" t="s">
        <v>60</v>
      </c>
      <c r="H20" s="1">
        <v>3</v>
      </c>
    </row>
    <row r="21" spans="1:8" x14ac:dyDescent="0.3">
      <c r="A21" s="12">
        <v>41911</v>
      </c>
      <c r="B21" s="12"/>
      <c r="C21" t="s">
        <v>26</v>
      </c>
      <c r="D21" t="s">
        <v>45</v>
      </c>
      <c r="E21" s="1" t="s">
        <v>78</v>
      </c>
      <c r="F21" s="5">
        <v>1673.9</v>
      </c>
      <c r="G21" s="19" t="s">
        <v>67</v>
      </c>
      <c r="H21" s="1">
        <v>3</v>
      </c>
    </row>
    <row r="22" spans="1:8" x14ac:dyDescent="0.3">
      <c r="A22" s="12">
        <v>41912</v>
      </c>
      <c r="B22" s="12"/>
      <c r="C22" t="s">
        <v>26</v>
      </c>
      <c r="D22" t="s">
        <v>45</v>
      </c>
      <c r="E22" s="1" t="s">
        <v>79</v>
      </c>
      <c r="F22" s="5">
        <v>1793.68</v>
      </c>
      <c r="G22" s="19" t="s">
        <v>77</v>
      </c>
      <c r="H22" s="1">
        <v>3</v>
      </c>
    </row>
    <row r="23" spans="1:8" x14ac:dyDescent="0.3">
      <c r="A23" s="12">
        <v>41912</v>
      </c>
      <c r="B23" s="12"/>
      <c r="C23" t="s">
        <v>80</v>
      </c>
      <c r="D23" t="s">
        <v>81</v>
      </c>
      <c r="F23" s="5">
        <v>4250.6000000000004</v>
      </c>
      <c r="G23" s="19" t="s">
        <v>60</v>
      </c>
      <c r="H23" s="1">
        <v>3</v>
      </c>
    </row>
    <row r="24" spans="1:8" x14ac:dyDescent="0.3">
      <c r="A24" s="12">
        <v>41977</v>
      </c>
      <c r="B24" s="12"/>
      <c r="C24" t="s">
        <v>26</v>
      </c>
      <c r="D24" t="s">
        <v>45</v>
      </c>
      <c r="E24" s="1" t="s">
        <v>89</v>
      </c>
      <c r="F24" s="5">
        <v>1744.92</v>
      </c>
      <c r="G24" s="19" t="s">
        <v>58</v>
      </c>
      <c r="H24" s="1">
        <v>3</v>
      </c>
    </row>
    <row r="25" spans="1:8" x14ac:dyDescent="0.3">
      <c r="A25" s="12">
        <v>41988</v>
      </c>
      <c r="B25" s="12"/>
      <c r="C25" t="s">
        <v>26</v>
      </c>
      <c r="D25" t="s">
        <v>87</v>
      </c>
      <c r="E25" s="1" t="s">
        <v>90</v>
      </c>
      <c r="F25" s="5">
        <v>1925.12</v>
      </c>
      <c r="G25" s="19" t="s">
        <v>77</v>
      </c>
      <c r="H25" s="1">
        <v>3</v>
      </c>
    </row>
    <row r="26" spans="1:8" x14ac:dyDescent="0.3">
      <c r="A26" s="12">
        <v>41996</v>
      </c>
      <c r="B26" s="12"/>
      <c r="C26" t="s">
        <v>26</v>
      </c>
      <c r="D26" t="s">
        <v>88</v>
      </c>
      <c r="E26" s="1" t="s">
        <v>91</v>
      </c>
      <c r="F26" s="5">
        <v>743.28</v>
      </c>
      <c r="G26" s="19" t="s">
        <v>60</v>
      </c>
      <c r="H26" s="1">
        <v>3</v>
      </c>
    </row>
    <row r="27" spans="1:8" x14ac:dyDescent="0.3">
      <c r="A27" s="12">
        <v>42005</v>
      </c>
      <c r="B27" s="12"/>
      <c r="C27" t="s">
        <v>100</v>
      </c>
      <c r="D27" t="s">
        <v>101</v>
      </c>
      <c r="E27" s="1" t="s">
        <v>102</v>
      </c>
      <c r="F27" s="5">
        <v>-1740.68</v>
      </c>
      <c r="G27" s="23" t="s">
        <v>119</v>
      </c>
    </row>
    <row r="28" spans="1:8" x14ac:dyDescent="0.3">
      <c r="A28" s="12">
        <v>42020</v>
      </c>
      <c r="B28" s="12"/>
      <c r="C28" t="s">
        <v>26</v>
      </c>
      <c r="D28" t="s">
        <v>93</v>
      </c>
      <c r="E28" s="1" t="s">
        <v>66</v>
      </c>
      <c r="F28" s="5">
        <v>-1869.76</v>
      </c>
    </row>
    <row r="29" spans="1:8" x14ac:dyDescent="0.3">
      <c r="A29" s="12">
        <v>42025</v>
      </c>
      <c r="B29" s="12"/>
      <c r="C29" t="s">
        <v>26</v>
      </c>
      <c r="D29" t="s">
        <v>45</v>
      </c>
      <c r="E29" s="1" t="s">
        <v>98</v>
      </c>
      <c r="F29" s="5">
        <v>1563.28</v>
      </c>
      <c r="G29" s="19" t="s">
        <v>67</v>
      </c>
      <c r="H29" s="1">
        <v>3</v>
      </c>
    </row>
    <row r="30" spans="1:8" x14ac:dyDescent="0.3">
      <c r="A30" s="12">
        <v>42025</v>
      </c>
      <c r="B30" s="12"/>
      <c r="C30" t="s">
        <v>26</v>
      </c>
      <c r="D30" t="s">
        <v>45</v>
      </c>
      <c r="E30" s="1" t="s">
        <v>99</v>
      </c>
      <c r="F30" s="5">
        <v>1563.28</v>
      </c>
      <c r="G30" s="19" t="s">
        <v>73</v>
      </c>
      <c r="H30" s="1">
        <v>3</v>
      </c>
    </row>
    <row r="31" spans="1:8" x14ac:dyDescent="0.3">
      <c r="A31" s="12">
        <v>42053</v>
      </c>
      <c r="B31" s="12"/>
      <c r="C31" t="s">
        <v>26</v>
      </c>
      <c r="D31" t="s">
        <v>124</v>
      </c>
      <c r="E31" s="1" t="s">
        <v>123</v>
      </c>
      <c r="F31" s="49">
        <v>734.78</v>
      </c>
      <c r="G31" s="19" t="s">
        <v>58</v>
      </c>
      <c r="H31" s="1">
        <v>3</v>
      </c>
    </row>
    <row r="32" spans="1:8" x14ac:dyDescent="0.3">
      <c r="F32" s="6">
        <f>SUM(F8:F31)</f>
        <v>30711.54</v>
      </c>
    </row>
    <row r="34" spans="1:8" x14ac:dyDescent="0.3">
      <c r="A34" s="12">
        <v>42151</v>
      </c>
      <c r="B34" s="12"/>
      <c r="C34" t="s">
        <v>59</v>
      </c>
      <c r="D34" t="s">
        <v>142</v>
      </c>
      <c r="F34" s="5">
        <v>-1612.41</v>
      </c>
      <c r="G34" s="19" t="s">
        <v>60</v>
      </c>
      <c r="H34" s="1">
        <v>3</v>
      </c>
    </row>
    <row r="35" spans="1:8" x14ac:dyDescent="0.3">
      <c r="A35" s="12">
        <v>42151</v>
      </c>
      <c r="B35" s="12"/>
      <c r="C35" t="s">
        <v>59</v>
      </c>
      <c r="D35" t="s">
        <v>143</v>
      </c>
      <c r="F35" s="5">
        <v>-609.74</v>
      </c>
      <c r="G35" s="23" t="s">
        <v>119</v>
      </c>
    </row>
    <row r="36" spans="1:8" x14ac:dyDescent="0.3">
      <c r="A36" s="12">
        <v>42217</v>
      </c>
      <c r="B36" s="12"/>
      <c r="C36" t="s">
        <v>59</v>
      </c>
      <c r="D36" t="s">
        <v>199</v>
      </c>
      <c r="F36" s="5">
        <v>472.89</v>
      </c>
      <c r="G36" s="19" t="s">
        <v>60</v>
      </c>
      <c r="H36" s="1">
        <v>3</v>
      </c>
    </row>
    <row r="37" spans="1:8" x14ac:dyDescent="0.3">
      <c r="A37" s="12">
        <v>42217</v>
      </c>
      <c r="B37" s="12"/>
      <c r="C37" t="s">
        <v>59</v>
      </c>
      <c r="D37" t="s">
        <v>200</v>
      </c>
      <c r="F37" s="5">
        <v>6181.2</v>
      </c>
      <c r="G37" s="19" t="s">
        <v>60</v>
      </c>
      <c r="H37" s="1">
        <v>3</v>
      </c>
    </row>
    <row r="38" spans="1:8" x14ac:dyDescent="0.3">
      <c r="A38" s="12">
        <v>42247</v>
      </c>
      <c r="B38" s="12"/>
      <c r="C38" t="s">
        <v>178</v>
      </c>
      <c r="D38" t="s">
        <v>179</v>
      </c>
      <c r="F38" s="5">
        <v>-13698.94</v>
      </c>
      <c r="G38" s="23"/>
    </row>
    <row r="39" spans="1:8" x14ac:dyDescent="0.3">
      <c r="A39" s="12">
        <v>42277</v>
      </c>
      <c r="B39" s="12"/>
      <c r="C39" t="s">
        <v>26</v>
      </c>
      <c r="D39" t="s">
        <v>206</v>
      </c>
      <c r="F39" s="5">
        <v>1565.78</v>
      </c>
      <c r="G39" s="19" t="s">
        <v>73</v>
      </c>
      <c r="H39" s="1">
        <v>3</v>
      </c>
    </row>
    <row r="40" spans="1:8" x14ac:dyDescent="0.3">
      <c r="A40" s="12">
        <v>42277</v>
      </c>
      <c r="B40" s="12"/>
      <c r="D40" t="s">
        <v>205</v>
      </c>
      <c r="F40" s="5">
        <v>-2822.43</v>
      </c>
      <c r="G40" s="23"/>
    </row>
    <row r="41" spans="1:8" x14ac:dyDescent="0.3">
      <c r="A41" s="12">
        <v>42279</v>
      </c>
      <c r="B41" s="12"/>
      <c r="C41" t="s">
        <v>26</v>
      </c>
      <c r="D41" t="s">
        <v>207</v>
      </c>
      <c r="F41" s="5">
        <v>1691.41</v>
      </c>
      <c r="G41" s="19" t="s">
        <v>73</v>
      </c>
      <c r="H41" s="1">
        <v>3</v>
      </c>
    </row>
    <row r="42" spans="1:8" x14ac:dyDescent="0.3">
      <c r="A42" s="12">
        <v>42331</v>
      </c>
      <c r="B42" s="12"/>
      <c r="C42" t="s">
        <v>26</v>
      </c>
      <c r="D42" t="s">
        <v>210</v>
      </c>
      <c r="F42" s="5">
        <v>1411.08</v>
      </c>
      <c r="G42" s="19" t="s">
        <v>211</v>
      </c>
      <c r="H42" s="1">
        <v>3</v>
      </c>
    </row>
    <row r="43" spans="1:8" x14ac:dyDescent="0.3">
      <c r="A43" s="12">
        <v>42396</v>
      </c>
      <c r="B43" s="12"/>
      <c r="C43" t="s">
        <v>215</v>
      </c>
      <c r="D43" t="s">
        <v>216</v>
      </c>
      <c r="F43" s="5">
        <v>28867.53</v>
      </c>
      <c r="G43" s="19" t="s">
        <v>60</v>
      </c>
      <c r="H43" s="1">
        <v>3</v>
      </c>
    </row>
    <row r="44" spans="1:8" x14ac:dyDescent="0.3">
      <c r="A44" s="12">
        <v>42439</v>
      </c>
      <c r="B44" s="12"/>
      <c r="C44" t="s">
        <v>62</v>
      </c>
      <c r="D44" t="s">
        <v>219</v>
      </c>
      <c r="F44" s="5">
        <v>1022.86</v>
      </c>
      <c r="G44" s="19" t="s">
        <v>73</v>
      </c>
      <c r="H44" s="1">
        <v>5</v>
      </c>
    </row>
    <row r="45" spans="1:8" x14ac:dyDescent="0.3">
      <c r="A45" s="12">
        <v>42450</v>
      </c>
      <c r="B45" s="12"/>
      <c r="C45" t="s">
        <v>26</v>
      </c>
      <c r="D45" t="s">
        <v>220</v>
      </c>
      <c r="F45" s="5">
        <v>1651.88</v>
      </c>
      <c r="G45" s="19" t="s">
        <v>58</v>
      </c>
      <c r="H45" s="1">
        <v>3</v>
      </c>
    </row>
    <row r="46" spans="1:8" x14ac:dyDescent="0.3">
      <c r="F46" s="6">
        <f>SUM(F34:F45)</f>
        <v>24121.11</v>
      </c>
    </row>
    <row r="48" spans="1:8" x14ac:dyDescent="0.3">
      <c r="A48" s="12">
        <v>42465</v>
      </c>
      <c r="B48" s="12"/>
      <c r="C48" t="s">
        <v>26</v>
      </c>
      <c r="D48" t="s">
        <v>221</v>
      </c>
      <c r="F48" s="5">
        <v>1412.53</v>
      </c>
      <c r="G48" s="19" t="s">
        <v>223</v>
      </c>
      <c r="H48" s="1">
        <v>3</v>
      </c>
    </row>
    <row r="49" spans="1:8" x14ac:dyDescent="0.3">
      <c r="A49" s="12">
        <v>42468</v>
      </c>
      <c r="B49" s="12"/>
      <c r="C49" t="s">
        <v>26</v>
      </c>
      <c r="D49" t="s">
        <v>222</v>
      </c>
      <c r="F49" s="5">
        <v>1657.47</v>
      </c>
      <c r="G49" s="19" t="s">
        <v>58</v>
      </c>
      <c r="H49" s="1">
        <v>3</v>
      </c>
    </row>
    <row r="50" spans="1:8" x14ac:dyDescent="0.3">
      <c r="A50" s="12">
        <v>42534</v>
      </c>
      <c r="B50" s="12"/>
      <c r="C50" t="s">
        <v>26</v>
      </c>
      <c r="D50" t="s">
        <v>234</v>
      </c>
      <c r="F50" s="5">
        <v>1287</v>
      </c>
      <c r="G50" s="19" t="s">
        <v>211</v>
      </c>
      <c r="H50" s="1">
        <v>3</v>
      </c>
    </row>
    <row r="51" spans="1:8" x14ac:dyDescent="0.3">
      <c r="A51" s="12">
        <v>42559</v>
      </c>
      <c r="B51" s="12"/>
      <c r="C51" t="s">
        <v>26</v>
      </c>
      <c r="D51" t="s">
        <v>237</v>
      </c>
      <c r="F51" s="5">
        <v>2522.96</v>
      </c>
      <c r="G51" s="19" t="s">
        <v>77</v>
      </c>
      <c r="H51" s="1">
        <v>3</v>
      </c>
    </row>
    <row r="52" spans="1:8" x14ac:dyDescent="0.3">
      <c r="A52" s="12">
        <v>42570</v>
      </c>
      <c r="B52" s="12"/>
      <c r="C52" t="s">
        <v>26</v>
      </c>
      <c r="D52" t="s">
        <v>238</v>
      </c>
      <c r="F52" s="5">
        <v>3263.82</v>
      </c>
      <c r="G52" s="19" t="s">
        <v>77</v>
      </c>
      <c r="H52" s="1">
        <v>3</v>
      </c>
    </row>
    <row r="53" spans="1:8" x14ac:dyDescent="0.3">
      <c r="A53" s="12">
        <v>42604</v>
      </c>
      <c r="B53" s="12"/>
      <c r="C53" t="s">
        <v>26</v>
      </c>
      <c r="D53" t="s">
        <v>240</v>
      </c>
      <c r="F53" s="5">
        <v>2857.92</v>
      </c>
      <c r="G53" s="19" t="s">
        <v>77</v>
      </c>
      <c r="H53" s="1">
        <v>3</v>
      </c>
    </row>
    <row r="54" spans="1:8" x14ac:dyDescent="0.3">
      <c r="A54" s="12">
        <v>42710</v>
      </c>
      <c r="B54" s="12"/>
      <c r="C54" t="s">
        <v>62</v>
      </c>
      <c r="D54" t="s">
        <v>244</v>
      </c>
      <c r="F54" s="5">
        <v>829.2</v>
      </c>
      <c r="G54" s="19" t="s">
        <v>60</v>
      </c>
      <c r="H54" s="1">
        <v>3</v>
      </c>
    </row>
    <row r="55" spans="1:8" x14ac:dyDescent="0.3">
      <c r="A55" s="12">
        <v>42720</v>
      </c>
      <c r="B55" s="12"/>
      <c r="C55" t="s">
        <v>62</v>
      </c>
      <c r="D55" t="s">
        <v>245</v>
      </c>
      <c r="F55" s="5">
        <v>1636.75</v>
      </c>
      <c r="G55" s="19" t="s">
        <v>60</v>
      </c>
      <c r="H55" s="1">
        <v>5</v>
      </c>
    </row>
    <row r="56" spans="1:8" x14ac:dyDescent="0.3">
      <c r="A56" s="12">
        <v>42790</v>
      </c>
      <c r="B56" s="12"/>
      <c r="C56" t="s">
        <v>248</v>
      </c>
      <c r="D56" t="s">
        <v>249</v>
      </c>
      <c r="F56" s="5">
        <v>2659.54</v>
      </c>
      <c r="G56" s="19" t="s">
        <v>77</v>
      </c>
      <c r="H56" s="1">
        <v>3</v>
      </c>
    </row>
    <row r="57" spans="1:8" x14ac:dyDescent="0.3">
      <c r="F57" s="6">
        <f>SUM(F48:F56)</f>
        <v>18127.190000000002</v>
      </c>
    </row>
    <row r="59" spans="1:8" x14ac:dyDescent="0.3">
      <c r="A59" s="12">
        <v>42838</v>
      </c>
      <c r="B59" s="12"/>
      <c r="C59" t="s">
        <v>252</v>
      </c>
      <c r="D59" t="s">
        <v>253</v>
      </c>
      <c r="F59" s="5">
        <v>4594.5</v>
      </c>
      <c r="G59" s="19" t="s">
        <v>51</v>
      </c>
      <c r="H59" s="1">
        <v>5</v>
      </c>
    </row>
    <row r="60" spans="1:8" x14ac:dyDescent="0.3">
      <c r="A60" s="12">
        <v>42886</v>
      </c>
      <c r="B60" s="12"/>
      <c r="C60" t="s">
        <v>314</v>
      </c>
      <c r="F60" s="5">
        <v>-7236.36</v>
      </c>
      <c r="G60" s="19"/>
    </row>
    <row r="61" spans="1:8" x14ac:dyDescent="0.3">
      <c r="A61" s="12">
        <v>42886</v>
      </c>
      <c r="B61" s="12"/>
      <c r="C61" t="s">
        <v>315</v>
      </c>
      <c r="F61" s="5">
        <v>-21271.67</v>
      </c>
      <c r="G61" s="19"/>
    </row>
    <row r="62" spans="1:8" x14ac:dyDescent="0.3">
      <c r="A62" s="12">
        <v>42886</v>
      </c>
      <c r="B62" s="12"/>
      <c r="C62" t="s">
        <v>313</v>
      </c>
      <c r="F62" s="5">
        <v>21271.67</v>
      </c>
      <c r="G62" s="19"/>
    </row>
    <row r="63" spans="1:8" x14ac:dyDescent="0.3">
      <c r="A63" s="12">
        <v>43035</v>
      </c>
      <c r="B63" s="12"/>
      <c r="C63" t="s">
        <v>330</v>
      </c>
      <c r="F63" s="5">
        <v>689.06</v>
      </c>
      <c r="G63" s="19"/>
    </row>
    <row r="64" spans="1:8" x14ac:dyDescent="0.3">
      <c r="A64" s="12">
        <v>43035</v>
      </c>
      <c r="B64" s="12"/>
      <c r="C64" t="s">
        <v>331</v>
      </c>
      <c r="F64" s="5">
        <v>-689.06</v>
      </c>
      <c r="G64" s="19"/>
    </row>
    <row r="65" spans="1:8" x14ac:dyDescent="0.3">
      <c r="A65" s="12">
        <v>43040</v>
      </c>
      <c r="B65" s="12"/>
      <c r="C65" t="s">
        <v>248</v>
      </c>
      <c r="D65" t="s">
        <v>339</v>
      </c>
      <c r="F65" s="5">
        <v>1136.32</v>
      </c>
      <c r="G65" s="19" t="s">
        <v>58</v>
      </c>
      <c r="H65" s="1">
        <v>3</v>
      </c>
    </row>
    <row r="66" spans="1:8" x14ac:dyDescent="0.3">
      <c r="A66" s="12">
        <v>43101</v>
      </c>
      <c r="B66" s="12"/>
      <c r="C66" t="s">
        <v>248</v>
      </c>
      <c r="D66" t="s">
        <v>349</v>
      </c>
      <c r="F66" s="5">
        <v>960.36</v>
      </c>
      <c r="G66" s="19" t="s">
        <v>50</v>
      </c>
      <c r="H66" s="1">
        <v>3</v>
      </c>
    </row>
    <row r="67" spans="1:8" x14ac:dyDescent="0.3">
      <c r="F67" s="6">
        <f>SUM(F59:F66)</f>
        <v>-545.18000000000063</v>
      </c>
    </row>
    <row r="69" spans="1:8" x14ac:dyDescent="0.3">
      <c r="A69" s="12">
        <v>43223</v>
      </c>
      <c r="B69" s="12"/>
      <c r="C69" t="s">
        <v>248</v>
      </c>
      <c r="D69" t="s">
        <v>356</v>
      </c>
      <c r="F69" s="5">
        <v>1034.56</v>
      </c>
      <c r="G69" s="17" t="s">
        <v>211</v>
      </c>
      <c r="H69" s="1">
        <v>3</v>
      </c>
    </row>
    <row r="70" spans="1:8" x14ac:dyDescent="0.3">
      <c r="A70" s="12">
        <v>43243</v>
      </c>
      <c r="B70" s="12"/>
      <c r="C70" t="s">
        <v>248</v>
      </c>
      <c r="D70" t="s">
        <v>358</v>
      </c>
      <c r="F70" s="5">
        <v>1152.22</v>
      </c>
      <c r="G70" s="19" t="s">
        <v>223</v>
      </c>
      <c r="H70" s="1">
        <v>3</v>
      </c>
    </row>
    <row r="71" spans="1:8" x14ac:dyDescent="0.3">
      <c r="A71" s="12">
        <v>43272</v>
      </c>
      <c r="B71" s="12"/>
      <c r="C71" t="s">
        <v>248</v>
      </c>
      <c r="D71" t="s">
        <v>361</v>
      </c>
      <c r="F71" s="5">
        <v>2493.12</v>
      </c>
      <c r="G71" s="19" t="s">
        <v>60</v>
      </c>
      <c r="H71" s="1">
        <v>3</v>
      </c>
    </row>
    <row r="72" spans="1:8" x14ac:dyDescent="0.3">
      <c r="A72" s="12">
        <v>43367</v>
      </c>
      <c r="B72" s="12"/>
      <c r="C72" t="s">
        <v>59</v>
      </c>
      <c r="D72" t="s">
        <v>390</v>
      </c>
      <c r="F72" s="5">
        <v>9263.65</v>
      </c>
      <c r="G72" s="19" t="s">
        <v>223</v>
      </c>
      <c r="H72" s="1">
        <v>3</v>
      </c>
    </row>
    <row r="73" spans="1:8" x14ac:dyDescent="0.3">
      <c r="A73" s="12">
        <v>43383</v>
      </c>
      <c r="B73" s="12"/>
      <c r="C73" t="s">
        <v>248</v>
      </c>
      <c r="D73" t="s">
        <v>394</v>
      </c>
      <c r="F73" s="5">
        <v>1829.56</v>
      </c>
      <c r="G73" s="19" t="s">
        <v>211</v>
      </c>
      <c r="H73" s="1">
        <v>3</v>
      </c>
    </row>
    <row r="74" spans="1:8" x14ac:dyDescent="0.3">
      <c r="A74" s="12">
        <v>43445</v>
      </c>
      <c r="B74" s="12"/>
      <c r="C74" t="s">
        <v>248</v>
      </c>
      <c r="D74" t="s">
        <v>400</v>
      </c>
      <c r="F74" s="5">
        <v>1754.3</v>
      </c>
      <c r="G74" s="19" t="s">
        <v>67</v>
      </c>
      <c r="H74" s="1">
        <v>3</v>
      </c>
    </row>
    <row r="75" spans="1:8" x14ac:dyDescent="0.3">
      <c r="A75" s="12">
        <v>43445</v>
      </c>
      <c r="B75" s="12"/>
      <c r="C75" t="s">
        <v>248</v>
      </c>
      <c r="D75" t="s">
        <v>401</v>
      </c>
      <c r="F75" s="5">
        <v>2050.04</v>
      </c>
      <c r="G75" s="19" t="s">
        <v>67</v>
      </c>
      <c r="H75" s="1">
        <v>3</v>
      </c>
    </row>
    <row r="76" spans="1:8" x14ac:dyDescent="0.3">
      <c r="A76" s="12">
        <v>43521</v>
      </c>
      <c r="B76" s="12"/>
      <c r="C76" t="s">
        <v>248</v>
      </c>
      <c r="D76" t="s">
        <v>406</v>
      </c>
      <c r="F76" s="5">
        <v>1588.94</v>
      </c>
      <c r="G76" s="19" t="s">
        <v>223</v>
      </c>
      <c r="H76" s="1">
        <v>3</v>
      </c>
    </row>
    <row r="77" spans="1:8" x14ac:dyDescent="0.3">
      <c r="A77" s="12"/>
      <c r="B77" s="12"/>
      <c r="F77" s="6">
        <f>SUM(F69:F76)</f>
        <v>21166.39</v>
      </c>
      <c r="G77" s="19"/>
    </row>
    <row r="78" spans="1:8" x14ac:dyDescent="0.3">
      <c r="A78" s="12"/>
      <c r="B78" s="12"/>
      <c r="G78" s="19"/>
    </row>
    <row r="79" spans="1:8" x14ac:dyDescent="0.3">
      <c r="A79" s="12">
        <v>43699</v>
      </c>
      <c r="B79" s="12"/>
      <c r="C79" t="s">
        <v>248</v>
      </c>
      <c r="D79" t="s">
        <v>422</v>
      </c>
      <c r="F79" s="5">
        <v>8994.1</v>
      </c>
      <c r="G79" s="19" t="s">
        <v>423</v>
      </c>
      <c r="H79" s="1">
        <v>3</v>
      </c>
    </row>
    <row r="80" spans="1:8" x14ac:dyDescent="0.3">
      <c r="A80" s="12">
        <v>43742</v>
      </c>
      <c r="B80" s="12"/>
      <c r="C80" t="s">
        <v>426</v>
      </c>
      <c r="D80" t="s">
        <v>427</v>
      </c>
      <c r="F80" s="5">
        <v>681.58</v>
      </c>
      <c r="G80" s="19" t="s">
        <v>84</v>
      </c>
      <c r="H80" s="1">
        <v>5</v>
      </c>
    </row>
    <row r="81" spans="1:8" x14ac:dyDescent="0.3">
      <c r="A81" s="12">
        <v>43783</v>
      </c>
      <c r="B81" s="12"/>
      <c r="C81" t="s">
        <v>426</v>
      </c>
      <c r="D81" t="s">
        <v>428</v>
      </c>
      <c r="F81" s="5">
        <v>1776.67</v>
      </c>
      <c r="G81" s="19" t="s">
        <v>67</v>
      </c>
      <c r="H81" s="1">
        <v>3</v>
      </c>
    </row>
    <row r="82" spans="1:8" x14ac:dyDescent="0.3">
      <c r="A82" s="12">
        <v>43788</v>
      </c>
      <c r="B82" s="12"/>
      <c r="C82" t="s">
        <v>426</v>
      </c>
      <c r="D82" t="s">
        <v>429</v>
      </c>
      <c r="F82" s="5">
        <v>1776.67</v>
      </c>
      <c r="G82" s="19" t="s">
        <v>60</v>
      </c>
      <c r="H82" s="1">
        <v>3</v>
      </c>
    </row>
    <row r="83" spans="1:8" x14ac:dyDescent="0.3">
      <c r="A83" s="12">
        <v>43860</v>
      </c>
      <c r="B83" s="12"/>
      <c r="C83" t="s">
        <v>439</v>
      </c>
      <c r="D83" t="s">
        <v>440</v>
      </c>
      <c r="F83" s="5">
        <v>7548.05</v>
      </c>
      <c r="G83" s="19" t="s">
        <v>60</v>
      </c>
      <c r="H83" s="1">
        <v>3</v>
      </c>
    </row>
    <row r="84" spans="1:8" x14ac:dyDescent="0.3">
      <c r="A84" s="12">
        <v>43882</v>
      </c>
      <c r="B84" s="12"/>
      <c r="C84" t="s">
        <v>248</v>
      </c>
      <c r="D84" t="s">
        <v>441</v>
      </c>
      <c r="F84" s="58">
        <v>841.98</v>
      </c>
      <c r="G84" s="19" t="s">
        <v>60</v>
      </c>
      <c r="H84" s="1">
        <v>3</v>
      </c>
    </row>
    <row r="85" spans="1:8" x14ac:dyDescent="0.3">
      <c r="A85" s="12">
        <v>43894</v>
      </c>
      <c r="B85" s="12"/>
      <c r="C85" t="s">
        <v>248</v>
      </c>
      <c r="D85" t="s">
        <v>456</v>
      </c>
      <c r="F85" s="5">
        <v>17815.580000000002</v>
      </c>
      <c r="G85" s="19" t="s">
        <v>60</v>
      </c>
      <c r="H85" s="1">
        <v>5</v>
      </c>
    </row>
    <row r="86" spans="1:8" x14ac:dyDescent="0.3">
      <c r="F86" s="6">
        <f>SUM(F79:F85)</f>
        <v>39434.630000000005</v>
      </c>
    </row>
    <row r="88" spans="1:8" x14ac:dyDescent="0.3">
      <c r="A88" s="12">
        <v>43948</v>
      </c>
      <c r="B88" s="12"/>
      <c r="C88" t="s">
        <v>248</v>
      </c>
      <c r="D88" t="s">
        <v>441</v>
      </c>
      <c r="F88" s="58">
        <v>-841.98</v>
      </c>
      <c r="G88" s="19" t="s">
        <v>60</v>
      </c>
      <c r="H88" s="1">
        <v>3</v>
      </c>
    </row>
    <row r="89" spans="1:8" x14ac:dyDescent="0.3">
      <c r="A89" s="12">
        <v>44142</v>
      </c>
      <c r="B89" s="12"/>
      <c r="C89" t="s">
        <v>466</v>
      </c>
      <c r="D89" t="s">
        <v>467</v>
      </c>
      <c r="F89" s="5">
        <v>1873.18</v>
      </c>
      <c r="G89" s="19" t="s">
        <v>31</v>
      </c>
      <c r="H89" s="1">
        <v>3</v>
      </c>
    </row>
    <row r="90" spans="1:8" x14ac:dyDescent="0.3">
      <c r="A90" s="12">
        <v>44211</v>
      </c>
      <c r="B90" s="12"/>
      <c r="C90" t="s">
        <v>466</v>
      </c>
      <c r="D90" t="s">
        <v>471</v>
      </c>
      <c r="F90" s="5">
        <v>758.8</v>
      </c>
      <c r="G90" s="19" t="s">
        <v>84</v>
      </c>
      <c r="H90" s="1">
        <v>3</v>
      </c>
    </row>
    <row r="91" spans="1:8" x14ac:dyDescent="0.3">
      <c r="A91" s="12">
        <v>44223</v>
      </c>
      <c r="B91" s="12"/>
      <c r="C91" t="s">
        <v>466</v>
      </c>
      <c r="D91" t="s">
        <v>475</v>
      </c>
      <c r="F91" s="5">
        <v>1526.52</v>
      </c>
      <c r="G91" s="19" t="s">
        <v>58</v>
      </c>
      <c r="H91" s="1">
        <v>3</v>
      </c>
    </row>
    <row r="92" spans="1:8" x14ac:dyDescent="0.3">
      <c r="A92" s="12">
        <v>44223</v>
      </c>
      <c r="B92" s="12"/>
      <c r="C92" t="s">
        <v>466</v>
      </c>
      <c r="D92" t="s">
        <v>476</v>
      </c>
      <c r="F92" s="5">
        <v>1526.52</v>
      </c>
      <c r="G92" s="19" t="s">
        <v>84</v>
      </c>
      <c r="H92" s="1">
        <v>3</v>
      </c>
    </row>
    <row r="93" spans="1:8" x14ac:dyDescent="0.3">
      <c r="A93" s="12">
        <v>44223</v>
      </c>
      <c r="B93" s="12"/>
      <c r="C93" t="s">
        <v>466</v>
      </c>
      <c r="D93" t="s">
        <v>477</v>
      </c>
      <c r="F93" s="5">
        <v>1526.52</v>
      </c>
      <c r="G93" s="19" t="s">
        <v>28</v>
      </c>
      <c r="H93" s="1">
        <v>3</v>
      </c>
    </row>
    <row r="94" spans="1:8" x14ac:dyDescent="0.3">
      <c r="A94" s="12">
        <v>44223</v>
      </c>
      <c r="B94" s="12"/>
      <c r="C94" t="s">
        <v>466</v>
      </c>
      <c r="D94" t="s">
        <v>478</v>
      </c>
      <c r="F94" s="5">
        <v>1526.52</v>
      </c>
      <c r="G94" s="19" t="s">
        <v>28</v>
      </c>
      <c r="H94" s="1">
        <v>3</v>
      </c>
    </row>
    <row r="95" spans="1:8" x14ac:dyDescent="0.3">
      <c r="A95" s="12">
        <v>44223</v>
      </c>
      <c r="B95" s="12"/>
      <c r="C95" t="s">
        <v>466</v>
      </c>
      <c r="D95" t="s">
        <v>479</v>
      </c>
      <c r="F95" s="5">
        <v>1526.5</v>
      </c>
      <c r="G95" s="19" t="s">
        <v>58</v>
      </c>
      <c r="H95" s="1">
        <v>3</v>
      </c>
    </row>
    <row r="96" spans="1:8" x14ac:dyDescent="0.3">
      <c r="F96" s="6">
        <f>SUM(F88:F95)</f>
        <v>9422.58</v>
      </c>
    </row>
    <row r="98" spans="1:8" x14ac:dyDescent="0.3">
      <c r="A98" s="12">
        <v>44316</v>
      </c>
      <c r="B98" s="12"/>
      <c r="C98" t="s">
        <v>466</v>
      </c>
      <c r="D98" t="s">
        <v>541</v>
      </c>
      <c r="F98" s="5">
        <v>1451.79</v>
      </c>
      <c r="G98" s="17" t="s">
        <v>28</v>
      </c>
      <c r="H98" s="1">
        <v>3</v>
      </c>
    </row>
    <row r="99" spans="1:8" x14ac:dyDescent="0.3">
      <c r="A99" s="12">
        <v>44316</v>
      </c>
      <c r="B99" s="12"/>
      <c r="C99" t="s">
        <v>466</v>
      </c>
      <c r="D99" t="s">
        <v>542</v>
      </c>
      <c r="F99" s="5">
        <v>1451.78</v>
      </c>
      <c r="G99" s="17" t="s">
        <v>58</v>
      </c>
      <c r="H99" s="1">
        <v>3</v>
      </c>
    </row>
    <row r="100" spans="1:8" x14ac:dyDescent="0.3">
      <c r="A100" s="12">
        <v>44406</v>
      </c>
      <c r="B100" s="12"/>
      <c r="C100" t="s">
        <v>466</v>
      </c>
      <c r="D100" t="s">
        <v>552</v>
      </c>
      <c r="F100" s="5">
        <v>1661.6</v>
      </c>
      <c r="G100" s="17" t="s">
        <v>58</v>
      </c>
      <c r="H100" s="1">
        <v>3</v>
      </c>
    </row>
    <row r="101" spans="1:8" x14ac:dyDescent="0.3">
      <c r="A101" s="12">
        <v>44440</v>
      </c>
      <c r="B101" s="12"/>
      <c r="C101" t="s">
        <v>466</v>
      </c>
      <c r="D101" t="s">
        <v>441</v>
      </c>
      <c r="F101" s="5">
        <v>1689.51</v>
      </c>
      <c r="G101" s="19" t="s">
        <v>60</v>
      </c>
      <c r="H101" s="1">
        <v>3</v>
      </c>
    </row>
    <row r="102" spans="1:8" x14ac:dyDescent="0.3">
      <c r="A102" s="12">
        <v>44445</v>
      </c>
      <c r="B102" s="12"/>
      <c r="C102" t="s">
        <v>466</v>
      </c>
      <c r="D102" t="s">
        <v>558</v>
      </c>
      <c r="F102" s="5">
        <v>2460.39</v>
      </c>
      <c r="G102" s="19" t="s">
        <v>77</v>
      </c>
      <c r="H102" s="1">
        <v>3</v>
      </c>
    </row>
    <row r="103" spans="1:8" x14ac:dyDescent="0.3">
      <c r="A103" s="12">
        <v>44445</v>
      </c>
      <c r="B103" s="12"/>
      <c r="C103" t="s">
        <v>466</v>
      </c>
      <c r="D103" t="s">
        <v>240</v>
      </c>
      <c r="F103" s="5">
        <v>2460.39</v>
      </c>
      <c r="G103" s="19" t="s">
        <v>77</v>
      </c>
      <c r="H103" s="1">
        <v>3</v>
      </c>
    </row>
    <row r="104" spans="1:8" x14ac:dyDescent="0.3">
      <c r="A104" s="12">
        <v>44445</v>
      </c>
      <c r="B104" s="12"/>
      <c r="C104" t="s">
        <v>466</v>
      </c>
      <c r="D104" t="s">
        <v>237</v>
      </c>
      <c r="F104" s="5">
        <v>2460.38</v>
      </c>
      <c r="G104" s="19" t="s">
        <v>77</v>
      </c>
      <c r="H104" s="1">
        <v>3</v>
      </c>
    </row>
    <row r="105" spans="1:8" x14ac:dyDescent="0.3">
      <c r="A105" s="12">
        <v>44479</v>
      </c>
      <c r="B105" s="12"/>
      <c r="C105" t="s">
        <v>466</v>
      </c>
      <c r="D105" t="s">
        <v>562</v>
      </c>
      <c r="F105" s="5">
        <v>2281.9899999999998</v>
      </c>
      <c r="G105" s="19" t="s">
        <v>50</v>
      </c>
      <c r="H105" s="1">
        <v>3</v>
      </c>
    </row>
    <row r="106" spans="1:8" x14ac:dyDescent="0.3">
      <c r="A106" s="12">
        <v>44491</v>
      </c>
      <c r="B106" s="12"/>
      <c r="C106" t="s">
        <v>466</v>
      </c>
      <c r="D106" t="s">
        <v>240</v>
      </c>
      <c r="F106" s="5">
        <v>3003.43</v>
      </c>
      <c r="G106" s="19" t="s">
        <v>77</v>
      </c>
      <c r="H106" s="1">
        <v>3</v>
      </c>
    </row>
    <row r="107" spans="1:8" x14ac:dyDescent="0.3">
      <c r="F107" s="6">
        <f>SUM(F98:F106)</f>
        <v>18921.259999999998</v>
      </c>
      <c r="G107" s="19"/>
    </row>
    <row r="109" spans="1:8" x14ac:dyDescent="0.3">
      <c r="A109" s="12">
        <v>44689</v>
      </c>
      <c r="B109" s="1" t="s">
        <v>597</v>
      </c>
      <c r="C109" t="s">
        <v>588</v>
      </c>
      <c r="D109" t="s">
        <v>585</v>
      </c>
      <c r="E109" s="1" t="s">
        <v>589</v>
      </c>
      <c r="F109" s="5">
        <v>2006.6</v>
      </c>
      <c r="G109" s="17" t="s">
        <v>67</v>
      </c>
      <c r="H109" s="1">
        <v>3</v>
      </c>
    </row>
    <row r="110" spans="1:8" x14ac:dyDescent="0.3">
      <c r="A110" s="12">
        <v>44689</v>
      </c>
      <c r="B110" s="1">
        <v>465</v>
      </c>
      <c r="C110" t="s">
        <v>588</v>
      </c>
      <c r="D110" t="s">
        <v>586</v>
      </c>
      <c r="E110" s="1" t="s">
        <v>590</v>
      </c>
      <c r="F110" s="5">
        <v>2006.6</v>
      </c>
      <c r="G110" s="17" t="s">
        <v>28</v>
      </c>
      <c r="H110" s="1">
        <v>3</v>
      </c>
    </row>
    <row r="111" spans="1:8" x14ac:dyDescent="0.3">
      <c r="A111" s="12">
        <v>44689</v>
      </c>
      <c r="B111" s="1">
        <v>466</v>
      </c>
      <c r="C111" t="s">
        <v>588</v>
      </c>
      <c r="D111" t="s">
        <v>587</v>
      </c>
      <c r="E111" s="1" t="s">
        <v>591</v>
      </c>
      <c r="F111" s="5">
        <v>2006.6</v>
      </c>
      <c r="G111" s="17" t="s">
        <v>28</v>
      </c>
      <c r="H111" s="1">
        <v>3</v>
      </c>
    </row>
    <row r="112" spans="1:8" x14ac:dyDescent="0.3">
      <c r="A112" s="12">
        <v>44689</v>
      </c>
      <c r="B112" s="1">
        <v>467</v>
      </c>
      <c r="C112" t="s">
        <v>588</v>
      </c>
      <c r="D112" t="s">
        <v>339</v>
      </c>
      <c r="E112" s="1" t="s">
        <v>592</v>
      </c>
      <c r="F112" s="5">
        <v>2006.61</v>
      </c>
      <c r="G112" s="17" t="s">
        <v>67</v>
      </c>
      <c r="H112" s="1">
        <v>3</v>
      </c>
    </row>
    <row r="113" spans="1:8" x14ac:dyDescent="0.3">
      <c r="A113" s="12">
        <v>44713</v>
      </c>
      <c r="B113" s="1">
        <v>469</v>
      </c>
      <c r="C113" t="s">
        <v>588</v>
      </c>
      <c r="D113" t="s">
        <v>594</v>
      </c>
      <c r="E113" s="1" t="s">
        <v>595</v>
      </c>
      <c r="F113" s="5">
        <v>1581.9</v>
      </c>
      <c r="G113" s="19" t="s">
        <v>60</v>
      </c>
      <c r="H113" s="1">
        <v>3</v>
      </c>
    </row>
    <row r="114" spans="1:8" x14ac:dyDescent="0.3">
      <c r="A114" s="12">
        <v>44719</v>
      </c>
      <c r="B114" s="1">
        <v>470</v>
      </c>
      <c r="C114" t="s">
        <v>588</v>
      </c>
      <c r="D114" t="s">
        <v>593</v>
      </c>
      <c r="E114" s="1" t="s">
        <v>596</v>
      </c>
      <c r="F114" s="5">
        <v>1581.9</v>
      </c>
      <c r="G114" s="19" t="s">
        <v>58</v>
      </c>
      <c r="H114" s="1">
        <v>3</v>
      </c>
    </row>
    <row r="115" spans="1:8" x14ac:dyDescent="0.3">
      <c r="A115" s="12">
        <v>44713</v>
      </c>
      <c r="B115" s="1">
        <v>471</v>
      </c>
      <c r="C115" t="s">
        <v>588</v>
      </c>
      <c r="D115" t="s">
        <v>598</v>
      </c>
      <c r="F115" s="5">
        <v>18225.13</v>
      </c>
      <c r="G115" s="19" t="s">
        <v>60</v>
      </c>
      <c r="H115" s="1">
        <v>5</v>
      </c>
    </row>
    <row r="116" spans="1:8" x14ac:dyDescent="0.3">
      <c r="A116" s="12">
        <v>44776</v>
      </c>
      <c r="B116" s="1">
        <v>472</v>
      </c>
      <c r="C116" t="s">
        <v>588</v>
      </c>
      <c r="D116" t="s">
        <v>601</v>
      </c>
      <c r="E116" s="1" t="s">
        <v>603</v>
      </c>
      <c r="F116" s="5">
        <v>2012.93</v>
      </c>
      <c r="G116" s="19" t="s">
        <v>60</v>
      </c>
      <c r="H116" s="1">
        <v>3</v>
      </c>
    </row>
    <row r="117" spans="1:8" x14ac:dyDescent="0.3">
      <c r="A117" s="12">
        <v>44804</v>
      </c>
      <c r="B117" s="1">
        <v>473</v>
      </c>
      <c r="C117" t="s">
        <v>588</v>
      </c>
      <c r="D117" t="s">
        <v>602</v>
      </c>
      <c r="E117" s="1" t="s">
        <v>604</v>
      </c>
      <c r="F117" s="5">
        <v>1998.14</v>
      </c>
      <c r="G117" s="19" t="s">
        <v>211</v>
      </c>
      <c r="H117" s="1">
        <v>3</v>
      </c>
    </row>
    <row r="118" spans="1:8" x14ac:dyDescent="0.3">
      <c r="A118" s="12">
        <v>44869</v>
      </c>
      <c r="B118" s="1">
        <v>474</v>
      </c>
      <c r="C118" t="s">
        <v>607</v>
      </c>
      <c r="D118" t="s">
        <v>614</v>
      </c>
      <c r="E118" s="1" t="s">
        <v>615</v>
      </c>
      <c r="F118" s="5">
        <v>1571.75</v>
      </c>
      <c r="G118" s="19" t="s">
        <v>51</v>
      </c>
      <c r="H118" s="1">
        <v>3</v>
      </c>
    </row>
    <row r="119" spans="1:8" x14ac:dyDescent="0.3">
      <c r="A119" s="12">
        <v>44869</v>
      </c>
      <c r="B119" s="1">
        <v>475</v>
      </c>
      <c r="C119" t="s">
        <v>607</v>
      </c>
      <c r="D119" t="s">
        <v>612</v>
      </c>
      <c r="E119" s="1" t="s">
        <v>613</v>
      </c>
      <c r="F119" s="5">
        <v>1571.75</v>
      </c>
      <c r="G119" s="19" t="s">
        <v>31</v>
      </c>
      <c r="H119" s="1">
        <v>3</v>
      </c>
    </row>
    <row r="120" spans="1:8" x14ac:dyDescent="0.3">
      <c r="A120" s="12">
        <v>44869</v>
      </c>
      <c r="B120" s="1">
        <v>476</v>
      </c>
      <c r="C120" t="s">
        <v>607</v>
      </c>
      <c r="D120" t="s">
        <v>610</v>
      </c>
      <c r="E120" s="1" t="s">
        <v>611</v>
      </c>
      <c r="F120" s="5">
        <v>2079.52</v>
      </c>
      <c r="G120" s="19" t="s">
        <v>58</v>
      </c>
      <c r="H120" s="1">
        <v>3</v>
      </c>
    </row>
    <row r="121" spans="1:8" x14ac:dyDescent="0.3">
      <c r="A121" s="12">
        <v>44869</v>
      </c>
      <c r="B121" s="1">
        <v>477</v>
      </c>
      <c r="C121" t="s">
        <v>607</v>
      </c>
      <c r="D121" t="s">
        <v>608</v>
      </c>
      <c r="E121" s="1" t="s">
        <v>609</v>
      </c>
      <c r="F121" s="5">
        <v>1605.73</v>
      </c>
      <c r="G121" s="19" t="s">
        <v>60</v>
      </c>
      <c r="H121" s="1">
        <v>3</v>
      </c>
    </row>
    <row r="122" spans="1:8" x14ac:dyDescent="0.3">
      <c r="A122" s="12">
        <v>44869</v>
      </c>
      <c r="B122" s="1">
        <v>478</v>
      </c>
      <c r="C122" t="s">
        <v>605</v>
      </c>
      <c r="D122" t="s">
        <v>606</v>
      </c>
      <c r="F122" s="5">
        <v>4417.3599999999997</v>
      </c>
      <c r="G122" s="19" t="s">
        <v>60</v>
      </c>
      <c r="H122" s="1">
        <v>5</v>
      </c>
    </row>
    <row r="123" spans="1:8" x14ac:dyDescent="0.3">
      <c r="A123" s="12">
        <v>44985</v>
      </c>
      <c r="B123" s="1">
        <v>482</v>
      </c>
      <c r="C123" t="s">
        <v>607</v>
      </c>
      <c r="D123" t="s">
        <v>623</v>
      </c>
      <c r="E123" s="1" t="s">
        <v>624</v>
      </c>
      <c r="F123" s="5">
        <v>2032.89</v>
      </c>
      <c r="G123" s="19" t="s">
        <v>50</v>
      </c>
      <c r="H123" s="1">
        <v>3</v>
      </c>
    </row>
    <row r="124" spans="1:8" x14ac:dyDescent="0.3">
      <c r="A124" s="12">
        <v>44985</v>
      </c>
      <c r="B124" s="1">
        <v>483</v>
      </c>
      <c r="C124" t="s">
        <v>607</v>
      </c>
      <c r="D124" t="s">
        <v>622</v>
      </c>
      <c r="F124" s="5">
        <v>1573.91</v>
      </c>
      <c r="G124" s="19" t="s">
        <v>60</v>
      </c>
      <c r="H124" s="1">
        <v>5</v>
      </c>
    </row>
    <row r="125" spans="1:8" x14ac:dyDescent="0.3">
      <c r="A125" s="12">
        <v>44985</v>
      </c>
      <c r="B125" s="1">
        <v>484</v>
      </c>
      <c r="C125" t="s">
        <v>607</v>
      </c>
      <c r="D125" t="s">
        <v>621</v>
      </c>
      <c r="F125" s="5">
        <v>762.99</v>
      </c>
      <c r="G125" s="19" t="s">
        <v>60</v>
      </c>
      <c r="H125" s="1">
        <v>5</v>
      </c>
    </row>
    <row r="126" spans="1:8" x14ac:dyDescent="0.3">
      <c r="A126" s="12">
        <v>45014</v>
      </c>
      <c r="B126" s="1">
        <v>486</v>
      </c>
      <c r="C126" t="s">
        <v>607</v>
      </c>
      <c r="D126" t="s">
        <v>637</v>
      </c>
      <c r="E126" s="1" t="s">
        <v>639</v>
      </c>
      <c r="F126" s="5">
        <v>1764.25</v>
      </c>
      <c r="G126" s="19" t="s">
        <v>73</v>
      </c>
      <c r="H126" s="1">
        <v>3</v>
      </c>
    </row>
    <row r="127" spans="1:8" x14ac:dyDescent="0.3">
      <c r="A127" s="12">
        <v>45014</v>
      </c>
      <c r="B127" s="1">
        <v>487</v>
      </c>
      <c r="C127" t="s">
        <v>607</v>
      </c>
      <c r="D127" t="s">
        <v>361</v>
      </c>
      <c r="E127" s="1" t="s">
        <v>638</v>
      </c>
      <c r="F127" s="5">
        <v>1817.5</v>
      </c>
      <c r="G127" s="19" t="s">
        <v>73</v>
      </c>
      <c r="H127" s="1">
        <v>3</v>
      </c>
    </row>
    <row r="128" spans="1:8" x14ac:dyDescent="0.3">
      <c r="F128" s="6">
        <f>SUM(F109:F127)</f>
        <v>52624.060000000005</v>
      </c>
    </row>
    <row r="130" spans="1:8" x14ac:dyDescent="0.3">
      <c r="A130" s="12">
        <v>45036</v>
      </c>
      <c r="B130" s="1">
        <v>496</v>
      </c>
      <c r="C130" t="s">
        <v>607</v>
      </c>
      <c r="D130" t="s">
        <v>644</v>
      </c>
      <c r="E130" s="1" t="s">
        <v>645</v>
      </c>
      <c r="F130" s="5">
        <v>1764.72</v>
      </c>
      <c r="G130" s="19" t="s">
        <v>84</v>
      </c>
      <c r="H130" s="1">
        <v>3</v>
      </c>
    </row>
    <row r="131" spans="1:8" x14ac:dyDescent="0.3">
      <c r="A131" s="12">
        <v>45054</v>
      </c>
      <c r="B131" s="1">
        <v>497</v>
      </c>
      <c r="C131" t="s">
        <v>607</v>
      </c>
      <c r="D131" t="s">
        <v>650</v>
      </c>
      <c r="E131" s="1" t="s">
        <v>651</v>
      </c>
      <c r="F131" s="5">
        <v>1790.68</v>
      </c>
      <c r="G131" s="19" t="s">
        <v>58</v>
      </c>
      <c r="H131" s="1">
        <v>3</v>
      </c>
    </row>
    <row r="132" spans="1:8" x14ac:dyDescent="0.3">
      <c r="A132" s="12">
        <v>45093</v>
      </c>
      <c r="B132" s="1">
        <v>498</v>
      </c>
      <c r="C132" t="s">
        <v>607</v>
      </c>
      <c r="D132" t="s">
        <v>542</v>
      </c>
      <c r="E132" s="1" t="s">
        <v>652</v>
      </c>
      <c r="F132" s="5">
        <v>1579.98</v>
      </c>
      <c r="G132" s="19" t="s">
        <v>58</v>
      </c>
      <c r="H132" s="1">
        <v>3</v>
      </c>
    </row>
    <row r="133" spans="1:8" x14ac:dyDescent="0.3">
      <c r="A133" s="12">
        <v>45093</v>
      </c>
      <c r="B133" s="1">
        <v>499</v>
      </c>
      <c r="C133" t="s">
        <v>607</v>
      </c>
      <c r="D133" t="s">
        <v>654</v>
      </c>
      <c r="E133" s="1" t="s">
        <v>653</v>
      </c>
      <c r="F133" s="5">
        <v>1288.8499999999999</v>
      </c>
      <c r="G133" s="19" t="s">
        <v>60</v>
      </c>
      <c r="H133" s="1">
        <v>5</v>
      </c>
    </row>
    <row r="134" spans="1:8" x14ac:dyDescent="0.3">
      <c r="A134" s="12">
        <v>45096</v>
      </c>
      <c r="B134" s="1">
        <v>500</v>
      </c>
      <c r="C134" t="s">
        <v>607</v>
      </c>
      <c r="D134" t="s">
        <v>650</v>
      </c>
      <c r="E134" s="1" t="s">
        <v>655</v>
      </c>
      <c r="F134" s="5">
        <v>1685.76</v>
      </c>
      <c r="G134" s="19" t="s">
        <v>28</v>
      </c>
      <c r="H134" s="1">
        <v>3</v>
      </c>
    </row>
    <row r="135" spans="1:8" x14ac:dyDescent="0.3">
      <c r="A135" s="12">
        <v>45084</v>
      </c>
      <c r="B135" s="1">
        <v>501</v>
      </c>
      <c r="C135" t="s">
        <v>656</v>
      </c>
      <c r="D135" t="s">
        <v>665</v>
      </c>
      <c r="E135" s="1" t="s">
        <v>657</v>
      </c>
      <c r="F135" s="5">
        <v>4715.9399999999996</v>
      </c>
      <c r="G135" s="19" t="s">
        <v>67</v>
      </c>
      <c r="H135" s="1">
        <v>5</v>
      </c>
    </row>
    <row r="136" spans="1:8" x14ac:dyDescent="0.3">
      <c r="A136" s="12">
        <v>45084</v>
      </c>
      <c r="B136" s="1">
        <v>502</v>
      </c>
      <c r="C136" t="s">
        <v>656</v>
      </c>
      <c r="D136" t="s">
        <v>666</v>
      </c>
      <c r="E136" s="1" t="s">
        <v>658</v>
      </c>
      <c r="F136" s="5">
        <v>4715.9399999999996</v>
      </c>
      <c r="G136" s="19" t="s">
        <v>60</v>
      </c>
      <c r="H136" s="1">
        <v>5</v>
      </c>
    </row>
    <row r="137" spans="1:8" x14ac:dyDescent="0.3">
      <c r="A137" s="12">
        <v>45093</v>
      </c>
      <c r="B137" s="1">
        <v>503</v>
      </c>
      <c r="C137" t="s">
        <v>656</v>
      </c>
      <c r="D137" t="s">
        <v>667</v>
      </c>
      <c r="E137" s="1" t="s">
        <v>668</v>
      </c>
      <c r="F137" s="5">
        <v>4715.9399999999996</v>
      </c>
      <c r="G137" s="19" t="s">
        <v>31</v>
      </c>
      <c r="H137" s="1">
        <v>5</v>
      </c>
    </row>
    <row r="138" spans="1:8" x14ac:dyDescent="0.3">
      <c r="A138" s="12">
        <v>45154</v>
      </c>
      <c r="B138" s="1">
        <v>509</v>
      </c>
      <c r="C138" t="s">
        <v>607</v>
      </c>
      <c r="D138" t="s">
        <v>677</v>
      </c>
      <c r="E138" s="1" t="s">
        <v>678</v>
      </c>
      <c r="F138" s="5">
        <v>1602.42</v>
      </c>
      <c r="G138" s="19" t="s">
        <v>51</v>
      </c>
      <c r="H138" s="1">
        <v>3</v>
      </c>
    </row>
    <row r="139" spans="1:8" x14ac:dyDescent="0.3">
      <c r="A139" s="12">
        <v>45209</v>
      </c>
      <c r="B139" s="1">
        <v>511</v>
      </c>
      <c r="C139" t="s">
        <v>686</v>
      </c>
      <c r="D139" t="s">
        <v>687</v>
      </c>
      <c r="E139" s="1" t="s">
        <v>688</v>
      </c>
      <c r="F139" s="5">
        <v>585.11</v>
      </c>
      <c r="G139" s="19" t="s">
        <v>50</v>
      </c>
      <c r="H139" s="1">
        <v>5</v>
      </c>
    </row>
    <row r="140" spans="1:8" x14ac:dyDescent="0.3">
      <c r="A140" s="12">
        <v>45271</v>
      </c>
      <c r="B140" s="1">
        <v>512</v>
      </c>
      <c r="C140" t="s">
        <v>607</v>
      </c>
      <c r="D140" t="s">
        <v>394</v>
      </c>
      <c r="E140" s="1" t="s">
        <v>689</v>
      </c>
      <c r="F140" s="5">
        <v>1653.94</v>
      </c>
      <c r="G140" s="19" t="s">
        <v>211</v>
      </c>
      <c r="H140" s="1">
        <v>3</v>
      </c>
    </row>
    <row r="141" spans="1:8" x14ac:dyDescent="0.3">
      <c r="A141" s="12">
        <v>45310</v>
      </c>
      <c r="B141" s="1">
        <v>515</v>
      </c>
      <c r="C141" t="s">
        <v>607</v>
      </c>
      <c r="D141" t="s">
        <v>406</v>
      </c>
      <c r="E141" s="1" t="s">
        <v>694</v>
      </c>
      <c r="F141" s="5">
        <v>1662.24</v>
      </c>
      <c r="G141" s="19" t="s">
        <v>223</v>
      </c>
      <c r="H141" s="1">
        <v>3</v>
      </c>
    </row>
    <row r="142" spans="1:8" x14ac:dyDescent="0.3">
      <c r="F142" s="6">
        <f>SUM(F130:F141)</f>
        <v>27761.519999999997</v>
      </c>
    </row>
    <row r="144" spans="1:8" x14ac:dyDescent="0.3">
      <c r="A144" s="98">
        <v>45398</v>
      </c>
      <c r="B144" s="99">
        <v>518</v>
      </c>
      <c r="C144" s="100" t="s">
        <v>607</v>
      </c>
      <c r="D144" s="100" t="s">
        <v>467</v>
      </c>
      <c r="E144" s="99" t="s">
        <v>721</v>
      </c>
      <c r="F144" s="101">
        <v>1286.3399999999999</v>
      </c>
      <c r="G144" s="102" t="s">
        <v>51</v>
      </c>
      <c r="H144" s="99">
        <v>3</v>
      </c>
    </row>
    <row r="145" spans="1:8" x14ac:dyDescent="0.3">
      <c r="A145" s="98">
        <v>45453</v>
      </c>
      <c r="B145" s="99">
        <v>520</v>
      </c>
      <c r="C145" s="100" t="s">
        <v>607</v>
      </c>
      <c r="D145" s="100" t="s">
        <v>725</v>
      </c>
      <c r="E145" s="99" t="s">
        <v>726</v>
      </c>
      <c r="F145" s="101">
        <v>1147.92</v>
      </c>
      <c r="G145" s="102" t="s">
        <v>58</v>
      </c>
      <c r="H145" s="99">
        <v>3</v>
      </c>
    </row>
    <row r="146" spans="1:8" x14ac:dyDescent="0.3">
      <c r="A146" s="98">
        <v>45505</v>
      </c>
      <c r="B146" s="99">
        <v>527</v>
      </c>
      <c r="C146" s="100" t="s">
        <v>607</v>
      </c>
      <c r="D146" s="100" t="s">
        <v>732</v>
      </c>
      <c r="E146" s="99" t="s">
        <v>733</v>
      </c>
      <c r="F146" s="101">
        <v>1618.97</v>
      </c>
      <c r="G146" s="102" t="s">
        <v>28</v>
      </c>
      <c r="H146" s="99">
        <v>3</v>
      </c>
    </row>
    <row r="147" spans="1:8" x14ac:dyDescent="0.3">
      <c r="A147" s="98">
        <v>45600</v>
      </c>
      <c r="B147" s="99">
        <v>528</v>
      </c>
      <c r="C147" s="100" t="s">
        <v>607</v>
      </c>
      <c r="D147" s="100" t="s">
        <v>734</v>
      </c>
      <c r="E147" s="99"/>
      <c r="F147" s="101">
        <v>925.98</v>
      </c>
      <c r="G147" s="102" t="s">
        <v>84</v>
      </c>
      <c r="H147" s="99">
        <v>5</v>
      </c>
    </row>
    <row r="148" spans="1:8" x14ac:dyDescent="0.3">
      <c r="A148" s="98">
        <v>45747</v>
      </c>
      <c r="B148" s="99">
        <v>530</v>
      </c>
      <c r="C148" s="100" t="s">
        <v>607</v>
      </c>
      <c r="D148" s="100" t="s">
        <v>739</v>
      </c>
      <c r="E148" s="99" t="s">
        <v>740</v>
      </c>
      <c r="F148" s="101">
        <v>1945.06</v>
      </c>
      <c r="G148" s="102" t="s">
        <v>77</v>
      </c>
      <c r="H148" s="99">
        <v>3</v>
      </c>
    </row>
    <row r="149" spans="1:8" x14ac:dyDescent="0.3">
      <c r="F149" s="6">
        <f>SUM(F144:F148)</f>
        <v>6924.27</v>
      </c>
    </row>
  </sheetData>
  <pageMargins left="0.45" right="0.45" top="0.75" bottom="0.75" header="0.3" footer="0.3"/>
  <pageSetup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35"/>
  <sheetViews>
    <sheetView topLeftCell="A16" workbookViewId="0"/>
  </sheetViews>
  <sheetFormatPr defaultRowHeight="14.4" x14ac:dyDescent="0.3"/>
  <cols>
    <col min="1" max="1" width="14" style="11" customWidth="1"/>
    <col min="2" max="2" width="27" customWidth="1"/>
    <col min="3" max="3" width="20.109375" customWidth="1"/>
    <col min="4" max="4" width="15.88671875" style="1" customWidth="1"/>
    <col min="5" max="5" width="11.6640625" style="5" customWidth="1"/>
    <col min="6" max="6" width="24.44140625" style="17" customWidth="1"/>
    <col min="7" max="7" width="14.33203125" style="1" customWidth="1"/>
  </cols>
  <sheetData>
    <row r="1" spans="1:7" x14ac:dyDescent="0.3">
      <c r="A1" s="11" t="str">
        <f>'FY 2024 2025'!$A$1</f>
        <v>AA Inc</v>
      </c>
    </row>
    <row r="2" spans="1:7" x14ac:dyDescent="0.3">
      <c r="A2" s="11" t="s">
        <v>2</v>
      </c>
    </row>
    <row r="3" spans="1:7" x14ac:dyDescent="0.3">
      <c r="A3" s="11" t="s">
        <v>34</v>
      </c>
    </row>
    <row r="5" spans="1:7" x14ac:dyDescent="0.3">
      <c r="A5" s="18"/>
    </row>
    <row r="6" spans="1:7" x14ac:dyDescent="0.3">
      <c r="A6" s="13" t="s">
        <v>21</v>
      </c>
      <c r="B6" s="14" t="s">
        <v>22</v>
      </c>
      <c r="C6" s="14" t="s">
        <v>23</v>
      </c>
      <c r="D6" s="4" t="s">
        <v>29</v>
      </c>
      <c r="E6" s="15" t="s">
        <v>24</v>
      </c>
      <c r="F6" s="16" t="s">
        <v>27</v>
      </c>
      <c r="G6" s="4" t="s">
        <v>25</v>
      </c>
    </row>
    <row r="8" spans="1:7" x14ac:dyDescent="0.3">
      <c r="A8" s="12">
        <v>41817</v>
      </c>
      <c r="B8" t="s">
        <v>62</v>
      </c>
      <c r="C8" t="s">
        <v>63</v>
      </c>
      <c r="E8" s="5">
        <v>3395</v>
      </c>
      <c r="F8" s="17" t="s">
        <v>64</v>
      </c>
      <c r="G8" s="1">
        <v>10</v>
      </c>
    </row>
    <row r="9" spans="1:7" x14ac:dyDescent="0.3">
      <c r="A9" s="12">
        <v>42090</v>
      </c>
      <c r="B9" t="s">
        <v>129</v>
      </c>
      <c r="C9" t="s">
        <v>130</v>
      </c>
      <c r="E9" s="49">
        <v>806.34</v>
      </c>
      <c r="F9" s="17" t="s">
        <v>30</v>
      </c>
      <c r="G9" s="1">
        <v>10</v>
      </c>
    </row>
    <row r="10" spans="1:7" x14ac:dyDescent="0.3">
      <c r="A10" s="12"/>
      <c r="E10" s="6">
        <f>SUM(E8:E9)</f>
        <v>4201.34</v>
      </c>
      <c r="F10" s="19"/>
    </row>
    <row r="11" spans="1:7" x14ac:dyDescent="0.3">
      <c r="A11" s="12"/>
      <c r="F11" s="19"/>
    </row>
    <row r="12" spans="1:7" x14ac:dyDescent="0.3">
      <c r="A12" s="12">
        <v>42381</v>
      </c>
      <c r="B12" t="s">
        <v>213</v>
      </c>
      <c r="C12" t="s">
        <v>214</v>
      </c>
      <c r="E12" s="5">
        <v>2998.5</v>
      </c>
      <c r="F12" s="19" t="s">
        <v>31</v>
      </c>
      <c r="G12" s="1">
        <v>10</v>
      </c>
    </row>
    <row r="13" spans="1:7" x14ac:dyDescent="0.3">
      <c r="A13" s="12"/>
    </row>
    <row r="14" spans="1:7" x14ac:dyDescent="0.3">
      <c r="A14" s="12">
        <v>42489</v>
      </c>
      <c r="B14" t="s">
        <v>233</v>
      </c>
      <c r="C14" t="s">
        <v>235</v>
      </c>
      <c r="E14" s="5">
        <v>23285.71</v>
      </c>
      <c r="F14" s="17" t="s">
        <v>223</v>
      </c>
      <c r="G14" s="1">
        <v>10</v>
      </c>
    </row>
    <row r="15" spans="1:7" x14ac:dyDescent="0.3">
      <c r="A15" s="12">
        <v>42551</v>
      </c>
      <c r="B15" t="s">
        <v>233</v>
      </c>
      <c r="C15" t="s">
        <v>236</v>
      </c>
      <c r="E15" s="5">
        <v>23061.54</v>
      </c>
      <c r="F15" s="17" t="s">
        <v>30</v>
      </c>
      <c r="G15" s="1">
        <v>10</v>
      </c>
    </row>
    <row r="16" spans="1:7" x14ac:dyDescent="0.3">
      <c r="A16" s="12">
        <v>42557</v>
      </c>
      <c r="B16" t="s">
        <v>126</v>
      </c>
      <c r="C16" t="s">
        <v>239</v>
      </c>
      <c r="E16" s="5">
        <v>1860</v>
      </c>
      <c r="F16" s="19" t="s">
        <v>30</v>
      </c>
      <c r="G16" s="1">
        <v>10</v>
      </c>
    </row>
    <row r="17" spans="1:8" x14ac:dyDescent="0.3">
      <c r="A17" s="12">
        <v>42613</v>
      </c>
      <c r="B17" t="s">
        <v>241</v>
      </c>
      <c r="C17" t="s">
        <v>242</v>
      </c>
      <c r="E17" s="5">
        <v>1423.77</v>
      </c>
      <c r="F17" s="19" t="s">
        <v>30</v>
      </c>
      <c r="G17" s="1">
        <v>10</v>
      </c>
    </row>
    <row r="18" spans="1:8" x14ac:dyDescent="0.3">
      <c r="A18" s="12">
        <v>42614</v>
      </c>
      <c r="B18" t="s">
        <v>243</v>
      </c>
      <c r="C18" t="s">
        <v>242</v>
      </c>
      <c r="E18" s="5">
        <v>1086</v>
      </c>
      <c r="F18" s="19" t="s">
        <v>30</v>
      </c>
      <c r="G18" s="1">
        <v>10</v>
      </c>
    </row>
    <row r="19" spans="1:8" x14ac:dyDescent="0.3">
      <c r="A19" s="12">
        <v>42740</v>
      </c>
      <c r="B19" t="s">
        <v>246</v>
      </c>
      <c r="C19" t="s">
        <v>247</v>
      </c>
      <c r="E19" s="5">
        <v>3550.95</v>
      </c>
      <c r="F19" s="19" t="s">
        <v>211</v>
      </c>
      <c r="G19" s="1">
        <v>10</v>
      </c>
    </row>
    <row r="20" spans="1:8" x14ac:dyDescent="0.3">
      <c r="A20" s="12"/>
      <c r="E20" s="6">
        <f>SUM(E14:E19)</f>
        <v>54267.969999999994</v>
      </c>
    </row>
    <row r="21" spans="1:8" x14ac:dyDescent="0.3">
      <c r="A21" s="12"/>
    </row>
    <row r="22" spans="1:8" x14ac:dyDescent="0.3">
      <c r="A22" s="12">
        <v>42845</v>
      </c>
      <c r="B22" t="s">
        <v>255</v>
      </c>
      <c r="C22" t="s">
        <v>254</v>
      </c>
      <c r="E22" s="5">
        <v>914.5</v>
      </c>
      <c r="F22" s="19" t="s">
        <v>60</v>
      </c>
      <c r="G22" s="1">
        <v>7</v>
      </c>
      <c r="H22" t="s">
        <v>256</v>
      </c>
    </row>
    <row r="23" spans="1:8" x14ac:dyDescent="0.3">
      <c r="A23" s="12">
        <v>42845</v>
      </c>
      <c r="B23" t="s">
        <v>255</v>
      </c>
      <c r="C23" t="s">
        <v>257</v>
      </c>
      <c r="E23" s="5">
        <v>802.4</v>
      </c>
      <c r="F23" s="19" t="s">
        <v>60</v>
      </c>
      <c r="G23" s="1">
        <v>7</v>
      </c>
      <c r="H23" t="s">
        <v>256</v>
      </c>
    </row>
    <row r="24" spans="1:8" x14ac:dyDescent="0.3">
      <c r="A24" s="12">
        <v>42845</v>
      </c>
      <c r="B24" t="s">
        <v>255</v>
      </c>
      <c r="C24" t="s">
        <v>258</v>
      </c>
      <c r="E24" s="5">
        <v>1327.5</v>
      </c>
      <c r="F24" s="19" t="s">
        <v>223</v>
      </c>
      <c r="G24" s="1">
        <v>7</v>
      </c>
      <c r="H24" t="s">
        <v>256</v>
      </c>
    </row>
    <row r="25" spans="1:8" x14ac:dyDescent="0.3">
      <c r="A25" s="12">
        <v>42845</v>
      </c>
      <c r="B25" t="s">
        <v>255</v>
      </c>
      <c r="C25" t="s">
        <v>259</v>
      </c>
      <c r="E25" s="5">
        <v>737.5</v>
      </c>
      <c r="F25" s="19" t="s">
        <v>73</v>
      </c>
      <c r="G25" s="1">
        <v>7</v>
      </c>
      <c r="H25" t="s">
        <v>256</v>
      </c>
    </row>
    <row r="26" spans="1:8" x14ac:dyDescent="0.3">
      <c r="A26" s="12">
        <v>42843</v>
      </c>
      <c r="B26" t="s">
        <v>255</v>
      </c>
      <c r="C26" t="s">
        <v>260</v>
      </c>
      <c r="E26" s="5">
        <v>575</v>
      </c>
      <c r="F26" s="19" t="s">
        <v>30</v>
      </c>
      <c r="G26" s="1">
        <v>7</v>
      </c>
      <c r="H26" t="s">
        <v>256</v>
      </c>
    </row>
    <row r="27" spans="1:8" x14ac:dyDescent="0.3">
      <c r="A27" s="12">
        <v>42843</v>
      </c>
      <c r="B27" t="s">
        <v>255</v>
      </c>
      <c r="C27" t="s">
        <v>262</v>
      </c>
      <c r="E27" s="5">
        <v>1265</v>
      </c>
      <c r="F27" s="19" t="s">
        <v>73</v>
      </c>
      <c r="G27" s="1">
        <v>7</v>
      </c>
      <c r="H27" t="s">
        <v>256</v>
      </c>
    </row>
    <row r="28" spans="1:8" x14ac:dyDescent="0.3">
      <c r="A28" s="12">
        <v>42867</v>
      </c>
      <c r="B28" t="s">
        <v>287</v>
      </c>
      <c r="C28" t="s">
        <v>286</v>
      </c>
      <c r="E28" s="5">
        <v>2556.75</v>
      </c>
      <c r="F28" s="19" t="s">
        <v>84</v>
      </c>
      <c r="G28" s="1">
        <v>10</v>
      </c>
    </row>
    <row r="29" spans="1:8" x14ac:dyDescent="0.3">
      <c r="A29" s="12">
        <v>42886</v>
      </c>
      <c r="B29" t="s">
        <v>317</v>
      </c>
      <c r="C29" t="s">
        <v>312</v>
      </c>
      <c r="E29" s="5">
        <v>7236.36</v>
      </c>
      <c r="F29" s="19"/>
    </row>
    <row r="30" spans="1:8" x14ac:dyDescent="0.3">
      <c r="A30" s="12">
        <v>42906</v>
      </c>
      <c r="B30" t="s">
        <v>318</v>
      </c>
      <c r="C30" t="s">
        <v>316</v>
      </c>
      <c r="E30" s="5">
        <v>10000</v>
      </c>
      <c r="F30" s="19" t="s">
        <v>60</v>
      </c>
      <c r="G30" s="1">
        <v>10</v>
      </c>
    </row>
    <row r="31" spans="1:8" x14ac:dyDescent="0.3">
      <c r="E31" s="6">
        <f>SUM(E22:E30)</f>
        <v>25415.01</v>
      </c>
    </row>
    <row r="33" spans="1:7" x14ac:dyDescent="0.3">
      <c r="A33" s="12">
        <v>43301</v>
      </c>
      <c r="B33" t="s">
        <v>62</v>
      </c>
      <c r="C33" t="s">
        <v>388</v>
      </c>
      <c r="E33" s="5">
        <v>4277.8599999999997</v>
      </c>
      <c r="F33" s="19" t="s">
        <v>50</v>
      </c>
      <c r="G33" s="1">
        <v>7</v>
      </c>
    </row>
    <row r="34" spans="1:7" x14ac:dyDescent="0.3">
      <c r="A34" s="12">
        <v>43348</v>
      </c>
      <c r="B34" t="s">
        <v>287</v>
      </c>
      <c r="C34" t="s">
        <v>391</v>
      </c>
      <c r="E34" s="5">
        <v>759.04</v>
      </c>
      <c r="F34" s="19" t="s">
        <v>84</v>
      </c>
      <c r="G34" s="1">
        <v>7</v>
      </c>
    </row>
    <row r="35" spans="1:7" x14ac:dyDescent="0.3">
      <c r="E35" s="6">
        <f>SUM(E33:E34)</f>
        <v>5036.8999999999996</v>
      </c>
    </row>
  </sheetData>
  <pageMargins left="0.45" right="0.2" top="0.75" bottom="0.75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115"/>
  <sheetViews>
    <sheetView workbookViewId="0">
      <pane ySplit="6" topLeftCell="A100" activePane="bottomLeft" state="frozen"/>
      <selection pane="bottomLeft"/>
    </sheetView>
  </sheetViews>
  <sheetFormatPr defaultRowHeight="14.4" x14ac:dyDescent="0.3"/>
  <cols>
    <col min="1" max="1" width="14" style="11" customWidth="1"/>
    <col min="2" max="2" width="13.33203125" style="11" customWidth="1"/>
    <col min="3" max="3" width="22.44140625" customWidth="1"/>
    <col min="4" max="4" width="34.5546875" customWidth="1"/>
    <col min="5" max="5" width="15.88671875" style="1" customWidth="1"/>
    <col min="6" max="6" width="11.6640625" style="5" customWidth="1"/>
    <col min="7" max="7" width="11.6640625" style="17" customWidth="1"/>
    <col min="8" max="8" width="14.33203125" style="1" customWidth="1"/>
  </cols>
  <sheetData>
    <row r="1" spans="1:8" x14ac:dyDescent="0.3">
      <c r="A1" s="11" t="str">
        <f>'FY 2024 2025'!$A$1</f>
        <v>AA Inc</v>
      </c>
    </row>
    <row r="2" spans="1:8" x14ac:dyDescent="0.3">
      <c r="A2" s="11" t="s">
        <v>157</v>
      </c>
    </row>
    <row r="3" spans="1:8" x14ac:dyDescent="0.3">
      <c r="A3" s="11" t="s">
        <v>33</v>
      </c>
    </row>
    <row r="5" spans="1:8" x14ac:dyDescent="0.3">
      <c r="A5" s="18"/>
      <c r="B5" s="18"/>
    </row>
    <row r="6" spans="1:8" x14ac:dyDescent="0.3">
      <c r="A6" s="13" t="s">
        <v>21</v>
      </c>
      <c r="B6" s="13" t="s">
        <v>580</v>
      </c>
      <c r="C6" s="14" t="s">
        <v>22</v>
      </c>
      <c r="D6" s="14" t="s">
        <v>23</v>
      </c>
      <c r="E6" s="4" t="s">
        <v>29</v>
      </c>
      <c r="F6" s="15" t="s">
        <v>24</v>
      </c>
      <c r="G6" s="16" t="s">
        <v>27</v>
      </c>
      <c r="H6" s="4" t="s">
        <v>25</v>
      </c>
    </row>
    <row r="8" spans="1:8" x14ac:dyDescent="0.3">
      <c r="A8" s="12">
        <v>41772</v>
      </c>
      <c r="B8" s="12"/>
      <c r="C8" t="s">
        <v>55</v>
      </c>
      <c r="D8" t="s">
        <v>56</v>
      </c>
      <c r="E8" s="1">
        <v>10030566</v>
      </c>
      <c r="F8" s="5">
        <v>751.53</v>
      </c>
      <c r="G8" s="19" t="s">
        <v>31</v>
      </c>
      <c r="H8" s="1">
        <v>10</v>
      </c>
    </row>
    <row r="9" spans="1:8" x14ac:dyDescent="0.3">
      <c r="A9" s="12">
        <v>41803</v>
      </c>
      <c r="B9" s="12"/>
      <c r="C9" t="s">
        <v>59</v>
      </c>
      <c r="D9" t="s">
        <v>61</v>
      </c>
      <c r="F9" s="5">
        <v>15032</v>
      </c>
      <c r="G9" s="19" t="s">
        <v>28</v>
      </c>
      <c r="H9" s="1">
        <v>10</v>
      </c>
    </row>
    <row r="10" spans="1:8" x14ac:dyDescent="0.3">
      <c r="A10" s="12">
        <v>41862</v>
      </c>
      <c r="B10" s="12"/>
      <c r="C10" t="s">
        <v>72</v>
      </c>
      <c r="D10" t="s">
        <v>74</v>
      </c>
      <c r="F10" s="5">
        <v>622.5</v>
      </c>
      <c r="G10" s="19" t="s">
        <v>73</v>
      </c>
      <c r="H10" s="1">
        <v>7</v>
      </c>
    </row>
    <row r="11" spans="1:8" x14ac:dyDescent="0.3">
      <c r="A11" s="12">
        <v>41939</v>
      </c>
      <c r="B11" s="12"/>
      <c r="C11" t="s">
        <v>82</v>
      </c>
      <c r="D11" t="s">
        <v>83</v>
      </c>
      <c r="F11" s="5">
        <v>12128</v>
      </c>
      <c r="G11" s="19" t="s">
        <v>84</v>
      </c>
      <c r="H11" s="1">
        <v>10</v>
      </c>
    </row>
    <row r="12" spans="1:8" x14ac:dyDescent="0.3">
      <c r="A12" s="12">
        <v>41944</v>
      </c>
      <c r="B12" s="12"/>
      <c r="C12" t="s">
        <v>85</v>
      </c>
      <c r="D12" t="s">
        <v>86</v>
      </c>
      <c r="F12" s="5">
        <v>892.85</v>
      </c>
      <c r="G12" s="19" t="s">
        <v>84</v>
      </c>
      <c r="H12" s="1">
        <v>10</v>
      </c>
    </row>
    <row r="13" spans="1:8" x14ac:dyDescent="0.3">
      <c r="A13" s="12">
        <v>42005</v>
      </c>
      <c r="B13" s="12"/>
      <c r="C13" t="s">
        <v>120</v>
      </c>
      <c r="D13" t="s">
        <v>121</v>
      </c>
      <c r="F13" s="5">
        <v>5230.49</v>
      </c>
      <c r="G13" s="19" t="s">
        <v>73</v>
      </c>
      <c r="H13" s="1">
        <v>10</v>
      </c>
    </row>
    <row r="14" spans="1:8" x14ac:dyDescent="0.3">
      <c r="A14" s="12">
        <v>42024</v>
      </c>
      <c r="B14" s="12"/>
      <c r="C14" t="s">
        <v>96</v>
      </c>
      <c r="D14" t="s">
        <v>97</v>
      </c>
      <c r="F14" s="5">
        <v>8900</v>
      </c>
      <c r="G14" s="19" t="s">
        <v>73</v>
      </c>
      <c r="H14" s="1">
        <v>10</v>
      </c>
    </row>
    <row r="15" spans="1:8" x14ac:dyDescent="0.3">
      <c r="A15" s="12">
        <v>42027</v>
      </c>
      <c r="B15" s="12"/>
      <c r="C15" t="s">
        <v>94</v>
      </c>
      <c r="D15" t="s">
        <v>95</v>
      </c>
      <c r="F15" s="5">
        <v>963.83</v>
      </c>
      <c r="G15" s="19" t="s">
        <v>31</v>
      </c>
      <c r="H15" s="1">
        <v>7</v>
      </c>
    </row>
    <row r="16" spans="1:8" x14ac:dyDescent="0.3">
      <c r="A16" s="12">
        <v>42034</v>
      </c>
      <c r="B16" s="12"/>
      <c r="C16" t="s">
        <v>120</v>
      </c>
      <c r="D16" t="s">
        <v>122</v>
      </c>
      <c r="F16" s="5">
        <v>1399.74</v>
      </c>
      <c r="G16" s="19" t="s">
        <v>73</v>
      </c>
      <c r="H16" s="1">
        <v>10</v>
      </c>
    </row>
    <row r="17" spans="1:9" x14ac:dyDescent="0.3">
      <c r="A17" s="12">
        <v>42045</v>
      </c>
      <c r="B17" s="12"/>
      <c r="C17" t="s">
        <v>59</v>
      </c>
      <c r="D17" t="s">
        <v>125</v>
      </c>
      <c r="F17" s="49">
        <v>721847.87</v>
      </c>
      <c r="G17" s="19" t="s">
        <v>50</v>
      </c>
      <c r="H17" s="1">
        <v>10</v>
      </c>
    </row>
    <row r="18" spans="1:9" x14ac:dyDescent="0.3">
      <c r="A18" s="12">
        <v>42059</v>
      </c>
      <c r="B18" s="12"/>
      <c r="C18" t="s">
        <v>126</v>
      </c>
      <c r="D18" t="s">
        <v>127</v>
      </c>
      <c r="F18" s="49">
        <v>957.81</v>
      </c>
      <c r="G18" s="19" t="s">
        <v>73</v>
      </c>
      <c r="H18" s="1">
        <v>10</v>
      </c>
    </row>
    <row r="19" spans="1:9" x14ac:dyDescent="0.3">
      <c r="A19" s="12">
        <v>42064</v>
      </c>
      <c r="B19" s="12"/>
      <c r="C19" t="s">
        <v>59</v>
      </c>
      <c r="D19" t="s">
        <v>131</v>
      </c>
      <c r="F19" s="49">
        <v>-27347.87</v>
      </c>
      <c r="G19" s="19" t="s">
        <v>50</v>
      </c>
      <c r="H19" s="1">
        <v>10</v>
      </c>
    </row>
    <row r="20" spans="1:9" x14ac:dyDescent="0.3">
      <c r="F20" s="6">
        <f>SUM(F8:F19)</f>
        <v>741378.75</v>
      </c>
    </row>
    <row r="22" spans="1:9" x14ac:dyDescent="0.3">
      <c r="A22" s="12">
        <v>42125</v>
      </c>
      <c r="B22" s="12"/>
      <c r="C22" t="s">
        <v>149</v>
      </c>
      <c r="D22" t="s">
        <v>150</v>
      </c>
      <c r="F22" s="5">
        <v>34459</v>
      </c>
      <c r="G22" s="19" t="s">
        <v>30</v>
      </c>
      <c r="H22" s="1">
        <v>7</v>
      </c>
      <c r="I22" t="s">
        <v>151</v>
      </c>
    </row>
    <row r="23" spans="1:9" x14ac:dyDescent="0.3">
      <c r="A23" s="12">
        <v>42153</v>
      </c>
      <c r="B23" s="12"/>
      <c r="C23" t="s">
        <v>146</v>
      </c>
      <c r="D23" t="s">
        <v>147</v>
      </c>
      <c r="F23" s="5">
        <v>6850</v>
      </c>
      <c r="G23" s="19" t="s">
        <v>84</v>
      </c>
      <c r="H23" s="1">
        <v>10</v>
      </c>
    </row>
    <row r="24" spans="1:9" x14ac:dyDescent="0.3">
      <c r="A24" s="12">
        <v>42153</v>
      </c>
      <c r="B24" s="12"/>
      <c r="C24" t="s">
        <v>146</v>
      </c>
      <c r="D24" t="s">
        <v>148</v>
      </c>
      <c r="F24" s="5">
        <v>1568.5</v>
      </c>
      <c r="G24" s="19" t="s">
        <v>84</v>
      </c>
      <c r="H24" s="1">
        <v>10</v>
      </c>
    </row>
    <row r="25" spans="1:9" x14ac:dyDescent="0.3">
      <c r="A25" s="12">
        <v>42163</v>
      </c>
      <c r="B25" s="12"/>
      <c r="C25" t="s">
        <v>126</v>
      </c>
      <c r="D25" t="s">
        <v>153</v>
      </c>
      <c r="F25" s="5">
        <v>1380</v>
      </c>
      <c r="G25" s="19" t="s">
        <v>84</v>
      </c>
      <c r="H25" s="1">
        <v>10</v>
      </c>
    </row>
    <row r="26" spans="1:9" x14ac:dyDescent="0.3">
      <c r="A26" s="12">
        <v>42165</v>
      </c>
      <c r="B26" s="12"/>
      <c r="C26" t="s">
        <v>146</v>
      </c>
      <c r="D26" t="s">
        <v>154</v>
      </c>
      <c r="F26" s="5">
        <v>550</v>
      </c>
      <c r="G26" s="19" t="s">
        <v>84</v>
      </c>
      <c r="H26" s="1">
        <v>10</v>
      </c>
    </row>
    <row r="27" spans="1:9" x14ac:dyDescent="0.3">
      <c r="A27" s="12">
        <v>42174</v>
      </c>
      <c r="B27" s="12"/>
      <c r="C27" t="s">
        <v>146</v>
      </c>
      <c r="D27" t="s">
        <v>155</v>
      </c>
      <c r="F27" s="5">
        <v>1715</v>
      </c>
      <c r="G27" s="19" t="s">
        <v>84</v>
      </c>
      <c r="H27" s="1">
        <v>10</v>
      </c>
    </row>
    <row r="28" spans="1:9" x14ac:dyDescent="0.3">
      <c r="A28" s="12">
        <v>42184</v>
      </c>
      <c r="B28" s="12"/>
      <c r="C28" t="s">
        <v>120</v>
      </c>
      <c r="D28" t="s">
        <v>152</v>
      </c>
      <c r="F28" s="5">
        <v>1766.88</v>
      </c>
      <c r="G28" s="19" t="s">
        <v>73</v>
      </c>
      <c r="H28" s="1">
        <v>10</v>
      </c>
    </row>
    <row r="29" spans="1:9" x14ac:dyDescent="0.3">
      <c r="A29" s="12">
        <v>42185</v>
      </c>
      <c r="B29" s="12"/>
      <c r="C29" t="s">
        <v>156</v>
      </c>
      <c r="D29" t="s">
        <v>160</v>
      </c>
      <c r="F29" s="5">
        <v>14615</v>
      </c>
      <c r="G29" s="19" t="s">
        <v>84</v>
      </c>
      <c r="H29" s="1">
        <v>10</v>
      </c>
    </row>
    <row r="30" spans="1:9" x14ac:dyDescent="0.3">
      <c r="A30" s="12">
        <v>42186</v>
      </c>
      <c r="B30" s="12"/>
      <c r="C30" t="s">
        <v>59</v>
      </c>
      <c r="D30" t="s">
        <v>158</v>
      </c>
      <c r="F30" s="5">
        <v>8376.8700000000008</v>
      </c>
      <c r="G30" s="19" t="s">
        <v>30</v>
      </c>
      <c r="H30" s="1">
        <v>7</v>
      </c>
    </row>
    <row r="31" spans="1:9" x14ac:dyDescent="0.3">
      <c r="A31" s="12">
        <v>42208</v>
      </c>
      <c r="B31" s="12"/>
      <c r="C31" t="s">
        <v>159</v>
      </c>
      <c r="D31" t="s">
        <v>161</v>
      </c>
      <c r="F31" s="5">
        <v>2762</v>
      </c>
      <c r="G31" s="19" t="s">
        <v>84</v>
      </c>
      <c r="H31" s="1">
        <v>10</v>
      </c>
    </row>
    <row r="32" spans="1:9" x14ac:dyDescent="0.3">
      <c r="A32" s="12">
        <v>42212</v>
      </c>
      <c r="B32" s="12"/>
      <c r="C32" t="s">
        <v>162</v>
      </c>
      <c r="D32" t="s">
        <v>163</v>
      </c>
      <c r="F32" s="5">
        <v>539</v>
      </c>
      <c r="G32" s="19" t="s">
        <v>58</v>
      </c>
      <c r="H32" s="1">
        <v>7</v>
      </c>
    </row>
    <row r="33" spans="1:9" x14ac:dyDescent="0.3">
      <c r="A33" s="12">
        <v>42214</v>
      </c>
      <c r="B33" s="12"/>
      <c r="C33" t="s">
        <v>156</v>
      </c>
      <c r="D33" t="s">
        <v>160</v>
      </c>
      <c r="F33" s="5">
        <v>131535</v>
      </c>
      <c r="G33" s="19" t="s">
        <v>84</v>
      </c>
      <c r="H33" s="1">
        <v>10</v>
      </c>
    </row>
    <row r="34" spans="1:9" x14ac:dyDescent="0.3">
      <c r="A34" s="12">
        <v>42217</v>
      </c>
      <c r="B34" s="12"/>
      <c r="C34" t="s">
        <v>120</v>
      </c>
      <c r="D34" t="s">
        <v>197</v>
      </c>
      <c r="F34" s="5">
        <v>1673.6</v>
      </c>
      <c r="G34" s="19" t="s">
        <v>73</v>
      </c>
      <c r="H34" s="1">
        <v>10</v>
      </c>
    </row>
    <row r="35" spans="1:9" x14ac:dyDescent="0.3">
      <c r="A35" s="12">
        <v>42297</v>
      </c>
      <c r="B35" s="12"/>
      <c r="C35" t="s">
        <v>120</v>
      </c>
      <c r="D35" t="s">
        <v>208</v>
      </c>
      <c r="F35" s="5">
        <v>1557</v>
      </c>
      <c r="G35" s="19" t="s">
        <v>73</v>
      </c>
      <c r="H35" s="1">
        <v>10</v>
      </c>
    </row>
    <row r="36" spans="1:9" x14ac:dyDescent="0.3">
      <c r="A36" s="12">
        <v>42300</v>
      </c>
      <c r="B36" s="12"/>
      <c r="C36" t="s">
        <v>59</v>
      </c>
      <c r="D36" t="s">
        <v>209</v>
      </c>
      <c r="F36" s="5">
        <v>6150</v>
      </c>
      <c r="G36" s="19" t="s">
        <v>28</v>
      </c>
      <c r="H36" s="1">
        <v>7</v>
      </c>
    </row>
    <row r="37" spans="1:9" x14ac:dyDescent="0.3">
      <c r="F37" s="6">
        <f>SUM(F22:F36)</f>
        <v>215497.85</v>
      </c>
    </row>
    <row r="39" spans="1:9" x14ac:dyDescent="0.3">
      <c r="A39" s="12">
        <v>42843</v>
      </c>
      <c r="B39" s="12"/>
      <c r="C39" t="s">
        <v>255</v>
      </c>
      <c r="D39" t="s">
        <v>261</v>
      </c>
      <c r="F39" s="5">
        <v>4140</v>
      </c>
      <c r="G39" s="19" t="s">
        <v>73</v>
      </c>
      <c r="H39" s="1">
        <v>7</v>
      </c>
      <c r="I39" t="s">
        <v>256</v>
      </c>
    </row>
    <row r="40" spans="1:9" x14ac:dyDescent="0.3">
      <c r="A40" s="12">
        <v>42843</v>
      </c>
      <c r="B40" s="12"/>
      <c r="C40" t="s">
        <v>255</v>
      </c>
      <c r="D40" t="s">
        <v>263</v>
      </c>
      <c r="F40" s="5">
        <v>1035</v>
      </c>
      <c r="G40" s="19" t="s">
        <v>30</v>
      </c>
      <c r="H40" s="1">
        <v>7</v>
      </c>
      <c r="I40" t="s">
        <v>256</v>
      </c>
    </row>
    <row r="41" spans="1:9" x14ac:dyDescent="0.3">
      <c r="A41" s="12">
        <v>42860</v>
      </c>
      <c r="B41" s="12"/>
      <c r="C41" t="s">
        <v>59</v>
      </c>
      <c r="D41" t="s">
        <v>291</v>
      </c>
      <c r="F41" s="5">
        <v>5225.88</v>
      </c>
      <c r="G41" s="19" t="s">
        <v>67</v>
      </c>
      <c r="H41" s="1">
        <v>10</v>
      </c>
    </row>
    <row r="42" spans="1:9" x14ac:dyDescent="0.3">
      <c r="A42" s="12">
        <v>42867</v>
      </c>
      <c r="B42" s="12"/>
      <c r="C42" t="s">
        <v>288</v>
      </c>
      <c r="D42" t="s">
        <v>285</v>
      </c>
      <c r="F42" s="5">
        <f>4239.99</f>
        <v>4239.99</v>
      </c>
      <c r="G42" s="19" t="s">
        <v>84</v>
      </c>
      <c r="H42" s="1">
        <v>10</v>
      </c>
    </row>
    <row r="43" spans="1:9" x14ac:dyDescent="0.3">
      <c r="A43" s="12">
        <v>42867</v>
      </c>
      <c r="B43" s="12"/>
      <c r="C43" t="s">
        <v>290</v>
      </c>
      <c r="D43" t="s">
        <v>289</v>
      </c>
      <c r="F43" s="5">
        <v>845</v>
      </c>
      <c r="G43" s="19" t="s">
        <v>67</v>
      </c>
      <c r="H43" s="1">
        <v>10</v>
      </c>
    </row>
    <row r="44" spans="1:9" x14ac:dyDescent="0.3">
      <c r="A44" s="12">
        <v>43004</v>
      </c>
      <c r="B44" s="12"/>
      <c r="C44" t="s">
        <v>329</v>
      </c>
      <c r="D44" t="s">
        <v>328</v>
      </c>
      <c r="F44" s="5">
        <v>2284</v>
      </c>
      <c r="G44" s="19" t="s">
        <v>28</v>
      </c>
      <c r="H44" s="1">
        <v>10</v>
      </c>
    </row>
    <row r="45" spans="1:9" x14ac:dyDescent="0.3">
      <c r="A45" s="12">
        <v>43004</v>
      </c>
      <c r="B45" s="12"/>
      <c r="C45" t="s">
        <v>329</v>
      </c>
      <c r="D45" t="s">
        <v>328</v>
      </c>
      <c r="F45" s="5">
        <v>2330</v>
      </c>
      <c r="G45" s="19" t="s">
        <v>67</v>
      </c>
      <c r="H45" s="1">
        <v>10</v>
      </c>
    </row>
    <row r="46" spans="1:9" x14ac:dyDescent="0.3">
      <c r="A46" s="12">
        <v>43010</v>
      </c>
      <c r="B46" s="12"/>
      <c r="C46" t="s">
        <v>332</v>
      </c>
      <c r="D46" t="s">
        <v>333</v>
      </c>
      <c r="F46" s="5">
        <v>875</v>
      </c>
      <c r="G46" s="19" t="s">
        <v>73</v>
      </c>
      <c r="H46" s="1">
        <v>10</v>
      </c>
    </row>
    <row r="47" spans="1:9" x14ac:dyDescent="0.3">
      <c r="A47" s="12">
        <v>43010</v>
      </c>
      <c r="B47" s="12"/>
      <c r="C47" t="s">
        <v>332</v>
      </c>
      <c r="D47" t="s">
        <v>334</v>
      </c>
      <c r="F47" s="5">
        <v>898</v>
      </c>
      <c r="G47" s="19" t="s">
        <v>73</v>
      </c>
      <c r="H47" s="1">
        <v>10</v>
      </c>
    </row>
    <row r="48" spans="1:9" x14ac:dyDescent="0.3">
      <c r="A48" s="12">
        <v>43132</v>
      </c>
      <c r="B48" s="12"/>
      <c r="C48" t="s">
        <v>351</v>
      </c>
      <c r="D48" t="s">
        <v>350</v>
      </c>
      <c r="F48" s="5">
        <v>7783</v>
      </c>
      <c r="G48" s="19" t="s">
        <v>73</v>
      </c>
      <c r="H48" s="1">
        <v>10</v>
      </c>
    </row>
    <row r="49" spans="1:8" x14ac:dyDescent="0.3">
      <c r="A49" s="12">
        <v>43165</v>
      </c>
      <c r="B49" s="12"/>
      <c r="C49" t="s">
        <v>353</v>
      </c>
      <c r="D49" t="s">
        <v>354</v>
      </c>
      <c r="F49" s="5">
        <v>557.76</v>
      </c>
      <c r="G49" s="19" t="s">
        <v>58</v>
      </c>
      <c r="H49" s="1">
        <v>10</v>
      </c>
    </row>
    <row r="50" spans="1:8" x14ac:dyDescent="0.3">
      <c r="F50" s="6">
        <f>SUM(F39:F49)</f>
        <v>30213.63</v>
      </c>
    </row>
    <row r="52" spans="1:8" x14ac:dyDescent="0.3">
      <c r="A52" s="12">
        <v>43276</v>
      </c>
      <c r="B52" s="12"/>
      <c r="C52" t="s">
        <v>59</v>
      </c>
      <c r="D52" t="s">
        <v>362</v>
      </c>
      <c r="F52" s="5">
        <v>10313.9</v>
      </c>
      <c r="G52" s="19" t="s">
        <v>84</v>
      </c>
      <c r="H52" s="1">
        <v>10</v>
      </c>
    </row>
    <row r="53" spans="1:8" x14ac:dyDescent="0.3">
      <c r="A53" s="12">
        <v>43344</v>
      </c>
      <c r="B53" s="12"/>
      <c r="C53" t="s">
        <v>59</v>
      </c>
      <c r="D53" t="s">
        <v>393</v>
      </c>
      <c r="F53" s="5">
        <v>14260.88</v>
      </c>
      <c r="G53" s="19" t="s">
        <v>84</v>
      </c>
      <c r="H53" s="1">
        <v>10</v>
      </c>
    </row>
    <row r="54" spans="1:8" x14ac:dyDescent="0.3">
      <c r="A54" s="12">
        <v>43348</v>
      </c>
      <c r="B54" s="12"/>
      <c r="C54" t="s">
        <v>149</v>
      </c>
      <c r="D54" t="s">
        <v>392</v>
      </c>
      <c r="F54" s="5">
        <v>3028</v>
      </c>
      <c r="G54" s="19" t="s">
        <v>84</v>
      </c>
      <c r="H54" s="1">
        <v>10</v>
      </c>
    </row>
    <row r="55" spans="1:8" x14ac:dyDescent="0.3">
      <c r="A55" s="12">
        <v>43384</v>
      </c>
      <c r="B55" s="12"/>
      <c r="C55" t="s">
        <v>59</v>
      </c>
      <c r="D55" t="s">
        <v>397</v>
      </c>
      <c r="F55" s="5">
        <v>90000.03</v>
      </c>
      <c r="G55" s="19" t="s">
        <v>84</v>
      </c>
      <c r="H55" s="1">
        <v>7</v>
      </c>
    </row>
    <row r="56" spans="1:8" x14ac:dyDescent="0.3">
      <c r="A56" s="12">
        <v>43384</v>
      </c>
      <c r="B56" s="12"/>
      <c r="C56" t="s">
        <v>395</v>
      </c>
      <c r="D56" t="s">
        <v>396</v>
      </c>
      <c r="F56" s="5">
        <v>2540.0500000000002</v>
      </c>
      <c r="G56" s="19" t="s">
        <v>84</v>
      </c>
      <c r="H56" s="1">
        <v>7</v>
      </c>
    </row>
    <row r="57" spans="1:8" x14ac:dyDescent="0.3">
      <c r="A57" s="12">
        <v>43389</v>
      </c>
      <c r="B57" s="12"/>
      <c r="C57" t="s">
        <v>398</v>
      </c>
      <c r="D57" t="s">
        <v>399</v>
      </c>
      <c r="F57" s="5">
        <v>3555</v>
      </c>
      <c r="G57" s="19" t="s">
        <v>50</v>
      </c>
      <c r="H57" s="1">
        <v>7</v>
      </c>
    </row>
    <row r="58" spans="1:8" x14ac:dyDescent="0.3">
      <c r="A58" s="12">
        <v>43489</v>
      </c>
      <c r="B58" s="12"/>
      <c r="C58" t="s">
        <v>402</v>
      </c>
      <c r="D58" t="s">
        <v>403</v>
      </c>
      <c r="F58" s="5">
        <v>2500</v>
      </c>
      <c r="G58" s="19" t="s">
        <v>73</v>
      </c>
      <c r="H58" s="1">
        <v>10</v>
      </c>
    </row>
    <row r="59" spans="1:8" x14ac:dyDescent="0.3">
      <c r="A59" s="12">
        <v>43489</v>
      </c>
      <c r="B59" s="12"/>
      <c r="C59" t="s">
        <v>404</v>
      </c>
      <c r="D59" t="s">
        <v>405</v>
      </c>
      <c r="F59" s="5">
        <v>152.38999999999999</v>
      </c>
      <c r="G59" s="19" t="s">
        <v>73</v>
      </c>
      <c r="H59" s="1">
        <v>10</v>
      </c>
    </row>
    <row r="60" spans="1:8" x14ac:dyDescent="0.3">
      <c r="F60" s="6">
        <f>SUM(F52:F59)</f>
        <v>126350.25</v>
      </c>
    </row>
    <row r="62" spans="1:8" x14ac:dyDescent="0.3">
      <c r="A62" s="12">
        <v>43620</v>
      </c>
      <c r="B62" s="12"/>
      <c r="C62" t="s">
        <v>62</v>
      </c>
      <c r="D62" t="s">
        <v>413</v>
      </c>
      <c r="F62" s="5">
        <v>1156.8699999999999</v>
      </c>
      <c r="G62" s="19" t="s">
        <v>223</v>
      </c>
      <c r="H62" s="1">
        <v>10</v>
      </c>
    </row>
    <row r="63" spans="1:8" x14ac:dyDescent="0.3">
      <c r="A63" s="12">
        <v>43621</v>
      </c>
      <c r="B63" s="12"/>
      <c r="C63" t="s">
        <v>59</v>
      </c>
      <c r="D63" t="s">
        <v>414</v>
      </c>
      <c r="F63" s="5">
        <f>7536.9+33.22+301.49</f>
        <v>7871.61</v>
      </c>
      <c r="G63" s="19" t="s">
        <v>223</v>
      </c>
      <c r="H63" s="1">
        <v>10</v>
      </c>
    </row>
    <row r="64" spans="1:8" x14ac:dyDescent="0.3">
      <c r="A64" s="12">
        <v>43732</v>
      </c>
      <c r="B64" s="12"/>
      <c r="C64" t="s">
        <v>424</v>
      </c>
      <c r="D64" t="s">
        <v>425</v>
      </c>
      <c r="F64" s="5">
        <v>9274.84</v>
      </c>
      <c r="G64" s="19" t="s">
        <v>84</v>
      </c>
      <c r="H64" s="1">
        <v>10</v>
      </c>
    </row>
    <row r="65" spans="1:8" x14ac:dyDescent="0.3">
      <c r="F65" s="6">
        <f>SUM(F62:F64)</f>
        <v>18303.32</v>
      </c>
    </row>
    <row r="67" spans="1:8" x14ac:dyDescent="0.3">
      <c r="A67" s="12">
        <v>43980</v>
      </c>
      <c r="B67" s="12"/>
      <c r="C67" t="s">
        <v>120</v>
      </c>
      <c r="D67" t="s">
        <v>463</v>
      </c>
      <c r="F67" s="5">
        <v>2273.92</v>
      </c>
      <c r="G67" s="19" t="s">
        <v>73</v>
      </c>
      <c r="H67" s="1">
        <v>10</v>
      </c>
    </row>
    <row r="68" spans="1:8" x14ac:dyDescent="0.3">
      <c r="A68" s="12">
        <v>44144</v>
      </c>
      <c r="B68" s="12"/>
      <c r="C68" t="s">
        <v>59</v>
      </c>
      <c r="D68" t="s">
        <v>468</v>
      </c>
      <c r="F68" s="5">
        <v>6177.02</v>
      </c>
      <c r="G68" s="19" t="s">
        <v>469</v>
      </c>
      <c r="H68" s="1">
        <v>5</v>
      </c>
    </row>
    <row r="69" spans="1:8" x14ac:dyDescent="0.3">
      <c r="A69" s="12">
        <v>44246</v>
      </c>
      <c r="B69" s="12"/>
      <c r="C69" t="s">
        <v>482</v>
      </c>
      <c r="D69" t="s">
        <v>483</v>
      </c>
      <c r="F69" s="5">
        <v>1298.9100000000001</v>
      </c>
      <c r="G69" s="19" t="s">
        <v>67</v>
      </c>
      <c r="H69" s="1">
        <v>10</v>
      </c>
    </row>
    <row r="70" spans="1:8" x14ac:dyDescent="0.3">
      <c r="A70" s="12">
        <v>44277</v>
      </c>
      <c r="B70" s="12"/>
      <c r="C70" t="s">
        <v>162</v>
      </c>
      <c r="D70" t="s">
        <v>537</v>
      </c>
      <c r="F70" s="5">
        <f>2*517.98</f>
        <v>1035.96</v>
      </c>
      <c r="G70" s="19" t="s">
        <v>67</v>
      </c>
      <c r="H70" s="1">
        <v>10</v>
      </c>
    </row>
    <row r="71" spans="1:8" x14ac:dyDescent="0.3">
      <c r="F71" s="6">
        <f>SUM(F67:F70)</f>
        <v>10785.810000000001</v>
      </c>
    </row>
    <row r="73" spans="1:8" x14ac:dyDescent="0.3">
      <c r="A73" s="12">
        <v>44292</v>
      </c>
      <c r="B73" s="12"/>
      <c r="C73" t="s">
        <v>162</v>
      </c>
      <c r="D73" t="s">
        <v>543</v>
      </c>
      <c r="F73" s="5">
        <v>992.75</v>
      </c>
      <c r="G73" s="17" t="s">
        <v>28</v>
      </c>
      <c r="H73" s="1">
        <v>10</v>
      </c>
    </row>
    <row r="74" spans="1:8" x14ac:dyDescent="0.3">
      <c r="A74" s="12">
        <v>44329</v>
      </c>
      <c r="B74" s="12"/>
      <c r="C74" t="s">
        <v>162</v>
      </c>
      <c r="D74" t="s">
        <v>543</v>
      </c>
      <c r="F74" s="5">
        <v>2391.0300000000002</v>
      </c>
      <c r="G74" s="19" t="s">
        <v>67</v>
      </c>
      <c r="H74" s="1">
        <v>10</v>
      </c>
    </row>
    <row r="75" spans="1:8" x14ac:dyDescent="0.3">
      <c r="A75" s="12">
        <v>44365</v>
      </c>
      <c r="B75" s="12"/>
      <c r="C75" t="s">
        <v>59</v>
      </c>
      <c r="D75" t="s">
        <v>550</v>
      </c>
      <c r="F75" s="5">
        <v>1666.39</v>
      </c>
      <c r="G75" s="19" t="s">
        <v>67</v>
      </c>
      <c r="H75" s="1">
        <v>10</v>
      </c>
    </row>
    <row r="76" spans="1:8" x14ac:dyDescent="0.3">
      <c r="A76" s="12">
        <v>44371</v>
      </c>
      <c r="B76" s="12"/>
      <c r="C76" t="s">
        <v>398</v>
      </c>
      <c r="D76" t="s">
        <v>551</v>
      </c>
      <c r="F76" s="5">
        <v>1192</v>
      </c>
      <c r="G76" s="19" t="s">
        <v>67</v>
      </c>
      <c r="H76" s="1">
        <v>10</v>
      </c>
    </row>
    <row r="77" spans="1:8" x14ac:dyDescent="0.3">
      <c r="A77" s="12">
        <v>44383</v>
      </c>
      <c r="B77" s="12"/>
      <c r="C77" t="s">
        <v>553</v>
      </c>
      <c r="D77" t="s">
        <v>554</v>
      </c>
      <c r="F77" s="5">
        <v>1275.72</v>
      </c>
      <c r="G77" s="17" t="s">
        <v>28</v>
      </c>
      <c r="H77" s="1">
        <v>10</v>
      </c>
    </row>
    <row r="78" spans="1:8" x14ac:dyDescent="0.3">
      <c r="A78" s="12">
        <v>44398</v>
      </c>
      <c r="B78" s="12"/>
      <c r="C78" t="s">
        <v>398</v>
      </c>
      <c r="D78" t="s">
        <v>555</v>
      </c>
      <c r="F78" s="5">
        <v>1345</v>
      </c>
      <c r="G78" s="19" t="s">
        <v>67</v>
      </c>
      <c r="H78" s="1">
        <v>10</v>
      </c>
    </row>
    <row r="79" spans="1:8" x14ac:dyDescent="0.3">
      <c r="A79" s="12">
        <v>44477</v>
      </c>
      <c r="B79" s="12"/>
      <c r="C79" t="s">
        <v>482</v>
      </c>
      <c r="D79" t="s">
        <v>559</v>
      </c>
      <c r="F79" s="5">
        <v>2563.56</v>
      </c>
      <c r="G79" s="19" t="s">
        <v>67</v>
      </c>
      <c r="H79" s="1">
        <v>10</v>
      </c>
    </row>
    <row r="80" spans="1:8" x14ac:dyDescent="0.3">
      <c r="A80" s="12">
        <v>44490</v>
      </c>
      <c r="B80" s="12"/>
      <c r="C80" t="s">
        <v>560</v>
      </c>
      <c r="D80" t="s">
        <v>561</v>
      </c>
      <c r="F80" s="5">
        <v>552.95000000000005</v>
      </c>
      <c r="G80" s="19" t="s">
        <v>67</v>
      </c>
      <c r="H80" s="1">
        <v>10</v>
      </c>
    </row>
    <row r="81" spans="1:8" x14ac:dyDescent="0.3">
      <c r="A81" s="12">
        <v>44592</v>
      </c>
      <c r="B81" s="12"/>
      <c r="C81" t="s">
        <v>59</v>
      </c>
      <c r="D81" t="s">
        <v>563</v>
      </c>
      <c r="F81" s="5">
        <v>747.03</v>
      </c>
      <c r="G81" s="19" t="s">
        <v>77</v>
      </c>
      <c r="H81" s="1">
        <v>10</v>
      </c>
    </row>
    <row r="82" spans="1:8" x14ac:dyDescent="0.3">
      <c r="A82" s="12">
        <v>44592</v>
      </c>
      <c r="B82" s="12"/>
      <c r="C82" t="s">
        <v>59</v>
      </c>
      <c r="D82" t="s">
        <v>564</v>
      </c>
      <c r="F82" s="5">
        <v>7822.13</v>
      </c>
      <c r="G82" s="19" t="s">
        <v>77</v>
      </c>
      <c r="H82" s="1">
        <v>10</v>
      </c>
    </row>
    <row r="83" spans="1:8" x14ac:dyDescent="0.3">
      <c r="F83" s="6">
        <f>SUM(F73:F82)</f>
        <v>20548.560000000001</v>
      </c>
    </row>
    <row r="85" spans="1:8" x14ac:dyDescent="0.3">
      <c r="A85" s="12">
        <v>44657</v>
      </c>
      <c r="B85" s="1">
        <v>461</v>
      </c>
      <c r="C85" t="s">
        <v>582</v>
      </c>
      <c r="D85" t="s">
        <v>579</v>
      </c>
      <c r="F85" s="5">
        <v>20088</v>
      </c>
      <c r="G85" s="19" t="s">
        <v>58</v>
      </c>
      <c r="H85" s="1">
        <v>10</v>
      </c>
    </row>
    <row r="86" spans="1:8" x14ac:dyDescent="0.3">
      <c r="A86" s="12">
        <v>44657</v>
      </c>
      <c r="B86" s="1">
        <v>462</v>
      </c>
      <c r="C86" t="s">
        <v>581</v>
      </c>
      <c r="D86" t="s">
        <v>583</v>
      </c>
      <c r="F86" s="5">
        <v>2962.42</v>
      </c>
      <c r="G86" s="19" t="s">
        <v>58</v>
      </c>
      <c r="H86" s="1">
        <v>10</v>
      </c>
    </row>
    <row r="87" spans="1:8" x14ac:dyDescent="0.3">
      <c r="A87" s="12">
        <v>44657</v>
      </c>
      <c r="B87" s="1">
        <v>463</v>
      </c>
      <c r="C87" t="s">
        <v>581</v>
      </c>
      <c r="D87" t="s">
        <v>584</v>
      </c>
      <c r="F87" s="5">
        <v>2308.6799999999998</v>
      </c>
      <c r="G87" s="17" t="s">
        <v>58</v>
      </c>
      <c r="H87" s="1">
        <v>10</v>
      </c>
    </row>
    <row r="88" spans="1:8" x14ac:dyDescent="0.3">
      <c r="A88" s="12">
        <v>44735</v>
      </c>
      <c r="B88" s="1">
        <v>468</v>
      </c>
      <c r="C88" t="s">
        <v>599</v>
      </c>
      <c r="D88" t="s">
        <v>600</v>
      </c>
      <c r="F88" s="5">
        <v>9489.51</v>
      </c>
      <c r="G88" s="19" t="s">
        <v>28</v>
      </c>
      <c r="H88" s="1">
        <v>10</v>
      </c>
    </row>
    <row r="89" spans="1:8" x14ac:dyDescent="0.3">
      <c r="A89" s="12">
        <v>44973</v>
      </c>
      <c r="B89" s="1">
        <v>479</v>
      </c>
      <c r="C89" t="s">
        <v>616</v>
      </c>
      <c r="D89" t="s">
        <v>619</v>
      </c>
      <c r="F89" s="5">
        <v>6622.65</v>
      </c>
      <c r="G89" s="19" t="s">
        <v>28</v>
      </c>
      <c r="H89" s="1">
        <v>10</v>
      </c>
    </row>
    <row r="90" spans="1:8" x14ac:dyDescent="0.3">
      <c r="A90" s="12">
        <v>44973</v>
      </c>
      <c r="B90" s="1">
        <v>480</v>
      </c>
      <c r="C90" t="s">
        <v>617</v>
      </c>
      <c r="D90" t="s">
        <v>620</v>
      </c>
      <c r="F90" s="5">
        <v>83.59</v>
      </c>
      <c r="G90" s="19" t="s">
        <v>28</v>
      </c>
      <c r="H90" s="1">
        <v>10</v>
      </c>
    </row>
    <row r="91" spans="1:8" x14ac:dyDescent="0.3">
      <c r="A91" s="12">
        <v>44985</v>
      </c>
      <c r="B91" s="1">
        <v>481</v>
      </c>
      <c r="C91" t="s">
        <v>618</v>
      </c>
      <c r="D91" t="s">
        <v>630</v>
      </c>
      <c r="F91" s="5">
        <v>397.64</v>
      </c>
      <c r="G91" s="19" t="s">
        <v>28</v>
      </c>
      <c r="H91" s="1">
        <v>10</v>
      </c>
    </row>
    <row r="92" spans="1:8" x14ac:dyDescent="0.3">
      <c r="A92" s="12">
        <v>44987</v>
      </c>
      <c r="B92" s="1">
        <v>485</v>
      </c>
      <c r="C92" t="s">
        <v>631</v>
      </c>
      <c r="D92" t="s">
        <v>634</v>
      </c>
      <c r="F92" s="5">
        <v>4074</v>
      </c>
      <c r="G92" s="19" t="s">
        <v>84</v>
      </c>
      <c r="H92" s="1">
        <v>10</v>
      </c>
    </row>
    <row r="93" spans="1:8" x14ac:dyDescent="0.3">
      <c r="A93" s="12">
        <v>44987</v>
      </c>
      <c r="B93" s="1">
        <v>485</v>
      </c>
      <c r="C93" t="s">
        <v>632</v>
      </c>
      <c r="D93" t="s">
        <v>635</v>
      </c>
      <c r="F93" s="5">
        <v>1.43</v>
      </c>
      <c r="G93" s="19" t="s">
        <v>84</v>
      </c>
      <c r="H93" s="1">
        <v>10</v>
      </c>
    </row>
    <row r="94" spans="1:8" x14ac:dyDescent="0.3">
      <c r="A94" s="12">
        <v>44995</v>
      </c>
      <c r="B94" s="1">
        <v>485</v>
      </c>
      <c r="C94" t="s">
        <v>633</v>
      </c>
      <c r="D94" t="s">
        <v>636</v>
      </c>
      <c r="F94" s="5">
        <v>208.42</v>
      </c>
      <c r="G94" s="19" t="s">
        <v>84</v>
      </c>
      <c r="H94" s="1">
        <v>10</v>
      </c>
    </row>
    <row r="95" spans="1:8" x14ac:dyDescent="0.3">
      <c r="F95" s="6">
        <f>SUM(F85:F94)</f>
        <v>46236.34</v>
      </c>
    </row>
    <row r="97" spans="1:8" x14ac:dyDescent="0.3">
      <c r="A97" s="12">
        <v>45097</v>
      </c>
      <c r="B97" s="1">
        <v>504</v>
      </c>
      <c r="C97" t="s">
        <v>669</v>
      </c>
      <c r="D97" t="s">
        <v>670</v>
      </c>
      <c r="F97" s="5">
        <v>2752.63</v>
      </c>
      <c r="G97" s="19" t="s">
        <v>84</v>
      </c>
      <c r="H97" s="1">
        <v>10</v>
      </c>
    </row>
    <row r="98" spans="1:8" x14ac:dyDescent="0.3">
      <c r="A98" s="12">
        <v>45097</v>
      </c>
      <c r="B98" s="1">
        <v>505</v>
      </c>
      <c r="C98" t="s">
        <v>669</v>
      </c>
      <c r="D98" t="s">
        <v>671</v>
      </c>
      <c r="F98" s="5">
        <v>2752.63</v>
      </c>
      <c r="G98" s="19" t="s">
        <v>84</v>
      </c>
      <c r="H98" s="1">
        <v>10</v>
      </c>
    </row>
    <row r="99" spans="1:8" x14ac:dyDescent="0.3">
      <c r="A99" s="12">
        <v>45097</v>
      </c>
      <c r="B99" s="1">
        <v>506</v>
      </c>
      <c r="C99" t="s">
        <v>669</v>
      </c>
      <c r="D99" t="s">
        <v>672</v>
      </c>
      <c r="F99" s="5">
        <v>2752.63</v>
      </c>
      <c r="G99" s="19" t="s">
        <v>84</v>
      </c>
      <c r="H99" s="1">
        <v>10</v>
      </c>
    </row>
    <row r="100" spans="1:8" x14ac:dyDescent="0.3">
      <c r="A100" s="12">
        <v>45097</v>
      </c>
      <c r="B100" s="1">
        <v>507</v>
      </c>
      <c r="C100" t="s">
        <v>669</v>
      </c>
      <c r="D100" t="s">
        <v>673</v>
      </c>
      <c r="F100" s="5">
        <v>2752.64</v>
      </c>
      <c r="G100" s="19" t="s">
        <v>84</v>
      </c>
      <c r="H100" s="1">
        <v>10</v>
      </c>
    </row>
    <row r="101" spans="1:8" x14ac:dyDescent="0.3">
      <c r="A101" s="12">
        <v>45138</v>
      </c>
      <c r="B101" s="1">
        <v>508</v>
      </c>
      <c r="C101" t="s">
        <v>674</v>
      </c>
      <c r="D101" t="s">
        <v>675</v>
      </c>
      <c r="F101" s="5">
        <v>80467.350000000006</v>
      </c>
      <c r="G101" s="19" t="s">
        <v>223</v>
      </c>
      <c r="H101" s="1">
        <v>10</v>
      </c>
    </row>
    <row r="102" spans="1:8" x14ac:dyDescent="0.3">
      <c r="A102" s="12">
        <v>45194</v>
      </c>
      <c r="B102" s="1">
        <v>510</v>
      </c>
      <c r="C102" t="s">
        <v>94</v>
      </c>
      <c r="D102" t="s">
        <v>679</v>
      </c>
      <c r="F102" s="5">
        <v>2879.26</v>
      </c>
      <c r="G102" s="19" t="s">
        <v>67</v>
      </c>
      <c r="H102" s="1">
        <v>10</v>
      </c>
    </row>
    <row r="103" spans="1:8" x14ac:dyDescent="0.3">
      <c r="A103" s="12">
        <v>45199</v>
      </c>
      <c r="B103" s="1">
        <v>508</v>
      </c>
      <c r="C103" t="s">
        <v>674</v>
      </c>
      <c r="D103" t="s">
        <v>675</v>
      </c>
      <c r="F103" s="5">
        <v>-80467.350000000006</v>
      </c>
      <c r="G103" s="19" t="s">
        <v>223</v>
      </c>
      <c r="H103" s="1">
        <v>10</v>
      </c>
    </row>
    <row r="104" spans="1:8" x14ac:dyDescent="0.3">
      <c r="A104" s="12">
        <v>45296</v>
      </c>
      <c r="B104" s="1">
        <v>513</v>
      </c>
      <c r="C104" t="s">
        <v>690</v>
      </c>
      <c r="D104" t="s">
        <v>691</v>
      </c>
      <c r="F104" s="5">
        <v>4902.8</v>
      </c>
      <c r="G104" s="19" t="s">
        <v>77</v>
      </c>
      <c r="H104" s="1">
        <v>10</v>
      </c>
    </row>
    <row r="105" spans="1:8" x14ac:dyDescent="0.3">
      <c r="A105" s="12">
        <v>45309</v>
      </c>
      <c r="B105" s="1">
        <v>514</v>
      </c>
      <c r="C105" t="s">
        <v>693</v>
      </c>
      <c r="D105" t="s">
        <v>692</v>
      </c>
      <c r="F105" s="5">
        <v>8205.2199999999993</v>
      </c>
      <c r="G105" s="19" t="s">
        <v>28</v>
      </c>
      <c r="H105" s="1">
        <v>10</v>
      </c>
    </row>
    <row r="106" spans="1:8" x14ac:dyDescent="0.3">
      <c r="A106" s="12">
        <v>45358</v>
      </c>
      <c r="B106" s="1">
        <v>516</v>
      </c>
      <c r="C106" t="s">
        <v>715</v>
      </c>
      <c r="D106" t="s">
        <v>716</v>
      </c>
      <c r="F106" s="5">
        <v>8120.79</v>
      </c>
      <c r="G106" s="19" t="s">
        <v>77</v>
      </c>
      <c r="H106" s="1">
        <v>10</v>
      </c>
    </row>
    <row r="107" spans="1:8" x14ac:dyDescent="0.3">
      <c r="A107" s="12">
        <v>45358</v>
      </c>
      <c r="B107" s="1">
        <v>517</v>
      </c>
      <c r="C107" t="s">
        <v>717</v>
      </c>
      <c r="D107" t="s">
        <v>718</v>
      </c>
      <c r="F107" s="5">
        <v>42.59</v>
      </c>
      <c r="G107" s="19" t="s">
        <v>77</v>
      </c>
      <c r="H107" s="1">
        <v>10</v>
      </c>
    </row>
    <row r="108" spans="1:8" x14ac:dyDescent="0.3">
      <c r="A108" s="12">
        <v>45366</v>
      </c>
      <c r="B108" s="1" t="s">
        <v>719</v>
      </c>
      <c r="C108" t="s">
        <v>720</v>
      </c>
      <c r="D108" t="s">
        <v>718</v>
      </c>
      <c r="F108" s="5">
        <v>388.91</v>
      </c>
      <c r="G108" s="19" t="s">
        <v>77</v>
      </c>
      <c r="H108" s="1">
        <v>10</v>
      </c>
    </row>
    <row r="109" spans="1:8" x14ac:dyDescent="0.3">
      <c r="F109" s="6">
        <f>SUM(F97:F108)</f>
        <v>35550.099999999991</v>
      </c>
    </row>
    <row r="111" spans="1:8" x14ac:dyDescent="0.3">
      <c r="A111" s="98">
        <v>45408</v>
      </c>
      <c r="B111" s="99">
        <v>519</v>
      </c>
      <c r="C111" s="100" t="s">
        <v>722</v>
      </c>
      <c r="D111" s="100" t="s">
        <v>62</v>
      </c>
      <c r="E111" s="99"/>
      <c r="F111" s="101">
        <v>2544.9499999999998</v>
      </c>
      <c r="G111" s="102" t="s">
        <v>67</v>
      </c>
      <c r="H111" s="99">
        <v>10</v>
      </c>
    </row>
    <row r="112" spans="1:8" x14ac:dyDescent="0.3">
      <c r="A112" s="98">
        <v>45467</v>
      </c>
      <c r="B112" s="99" t="s">
        <v>727</v>
      </c>
      <c r="C112" s="100" t="s">
        <v>728</v>
      </c>
      <c r="D112" s="100" t="s">
        <v>729</v>
      </c>
      <c r="E112" s="99"/>
      <c r="F112" s="101">
        <f>5564.49+80467.35+158222.55+26370.43</f>
        <v>270624.82</v>
      </c>
      <c r="G112" s="102" t="s">
        <v>223</v>
      </c>
      <c r="H112" s="99">
        <v>10</v>
      </c>
    </row>
    <row r="113" spans="1:8" x14ac:dyDescent="0.3">
      <c r="A113" s="98">
        <v>45463</v>
      </c>
      <c r="B113" s="99" t="s">
        <v>730</v>
      </c>
      <c r="C113" s="100" t="s">
        <v>692</v>
      </c>
      <c r="D113" s="100" t="s">
        <v>731</v>
      </c>
      <c r="E113" s="99"/>
      <c r="F113" s="101">
        <f>7902.85+64.33+34.32</f>
        <v>8001.5</v>
      </c>
      <c r="G113" s="102" t="s">
        <v>28</v>
      </c>
      <c r="H113" s="99">
        <v>10</v>
      </c>
    </row>
    <row r="114" spans="1:8" x14ac:dyDescent="0.3">
      <c r="A114" s="98">
        <v>45727</v>
      </c>
      <c r="B114" s="99">
        <v>529</v>
      </c>
      <c r="C114" s="100" t="s">
        <v>59</v>
      </c>
      <c r="D114" s="100" t="s">
        <v>736</v>
      </c>
      <c r="E114" s="99"/>
      <c r="F114" s="101">
        <v>32080.2</v>
      </c>
      <c r="G114" s="102" t="s">
        <v>77</v>
      </c>
      <c r="H114" s="99">
        <v>10</v>
      </c>
    </row>
    <row r="115" spans="1:8" x14ac:dyDescent="0.3">
      <c r="F115" s="6">
        <f>SUM(F111:F114)</f>
        <v>313251.47000000003</v>
      </c>
    </row>
  </sheetData>
  <sortState xmlns:xlrd2="http://schemas.microsoft.com/office/spreadsheetml/2017/richdata2" ref="A53:G54">
    <sortCondition ref="A53:A54"/>
  </sortState>
  <pageMargins left="0.45" right="0.2" top="0.75" bottom="0.75" header="0.3" footer="0.3"/>
  <pageSetup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59"/>
  <sheetViews>
    <sheetView workbookViewId="0"/>
  </sheetViews>
  <sheetFormatPr defaultRowHeight="14.4" x14ac:dyDescent="0.3"/>
  <cols>
    <col min="1" max="1" width="14" style="11" customWidth="1"/>
    <col min="2" max="2" width="21.6640625" customWidth="1"/>
    <col min="3" max="3" width="31.6640625" customWidth="1"/>
    <col min="4" max="4" width="15.88671875" style="1" customWidth="1"/>
    <col min="5" max="5" width="11.6640625" style="5" customWidth="1"/>
    <col min="6" max="6" width="11.6640625" style="17" customWidth="1"/>
    <col min="7" max="7" width="14.33203125" style="1" customWidth="1"/>
    <col min="8" max="8" width="10.6640625" customWidth="1"/>
  </cols>
  <sheetData>
    <row r="1" spans="1:9" x14ac:dyDescent="0.3">
      <c r="A1" s="11" t="str">
        <f>'FY 2024 2025'!$A$1</f>
        <v>AA Inc</v>
      </c>
    </row>
    <row r="2" spans="1:9" x14ac:dyDescent="0.3">
      <c r="A2" s="11" t="s">
        <v>415</v>
      </c>
    </row>
    <row r="3" spans="1:9" x14ac:dyDescent="0.3">
      <c r="A3" s="11" t="s">
        <v>416</v>
      </c>
    </row>
    <row r="5" spans="1:9" x14ac:dyDescent="0.3">
      <c r="A5" s="11" t="s">
        <v>21</v>
      </c>
      <c r="B5" t="s">
        <v>22</v>
      </c>
      <c r="C5" t="s">
        <v>23</v>
      </c>
      <c r="D5" s="1" t="s">
        <v>29</v>
      </c>
      <c r="E5" s="5" t="s">
        <v>24</v>
      </c>
      <c r="F5" s="17" t="s">
        <v>27</v>
      </c>
      <c r="G5" s="1" t="s">
        <v>25</v>
      </c>
    </row>
    <row r="6" spans="1:9" x14ac:dyDescent="0.3">
      <c r="A6" s="13"/>
      <c r="B6" s="14"/>
      <c r="C6" s="14"/>
      <c r="D6" s="4"/>
      <c r="E6" s="15"/>
      <c r="F6" s="16"/>
      <c r="G6" s="4"/>
    </row>
    <row r="7" spans="1:9" x14ac:dyDescent="0.3">
      <c r="A7" s="12">
        <v>43616</v>
      </c>
      <c r="B7" t="s">
        <v>417</v>
      </c>
      <c r="C7" t="s">
        <v>418</v>
      </c>
      <c r="E7" s="5">
        <v>43009.36</v>
      </c>
      <c r="F7" s="19" t="s">
        <v>60</v>
      </c>
      <c r="G7" s="1">
        <v>20</v>
      </c>
    </row>
    <row r="8" spans="1:9" x14ac:dyDescent="0.3">
      <c r="A8" s="12">
        <v>43637</v>
      </c>
      <c r="B8" t="s">
        <v>417</v>
      </c>
      <c r="C8" t="s">
        <v>419</v>
      </c>
      <c r="E8" s="5">
        <v>-1256.46</v>
      </c>
      <c r="F8" s="19" t="s">
        <v>60</v>
      </c>
      <c r="G8" s="1">
        <v>20</v>
      </c>
    </row>
    <row r="9" spans="1:9" x14ac:dyDescent="0.3">
      <c r="A9" s="12"/>
      <c r="E9" s="6">
        <f>SUM(E7:E8)</f>
        <v>41752.9</v>
      </c>
      <c r="F9" s="19"/>
    </row>
    <row r="10" spans="1:9" x14ac:dyDescent="0.3">
      <c r="A10" s="12"/>
      <c r="F10" s="19"/>
    </row>
    <row r="11" spans="1:9" x14ac:dyDescent="0.3">
      <c r="A11" s="12" t="s">
        <v>436</v>
      </c>
      <c r="C11" t="s">
        <v>437</v>
      </c>
      <c r="E11" s="5">
        <v>200000</v>
      </c>
      <c r="F11" s="19" t="s">
        <v>60</v>
      </c>
      <c r="G11" s="1">
        <v>20</v>
      </c>
      <c r="H11" s="5">
        <f>E11/G11</f>
        <v>10000</v>
      </c>
      <c r="I11" s="5">
        <f>H11/12</f>
        <v>833.33333333333337</v>
      </c>
    </row>
    <row r="12" spans="1:9" x14ac:dyDescent="0.3">
      <c r="A12" s="12"/>
      <c r="F12" s="19"/>
    </row>
    <row r="13" spans="1:9" x14ac:dyDescent="0.3">
      <c r="A13" s="12"/>
      <c r="F13" s="19"/>
    </row>
    <row r="14" spans="1:9" x14ac:dyDescent="0.3">
      <c r="A14" s="12"/>
      <c r="F14" s="19"/>
    </row>
    <row r="15" spans="1:9" x14ac:dyDescent="0.3">
      <c r="A15" s="12"/>
      <c r="F15" s="19"/>
    </row>
    <row r="17" spans="1:6" x14ac:dyDescent="0.3">
      <c r="A17" s="12"/>
      <c r="F17" s="19"/>
    </row>
    <row r="18" spans="1:6" x14ac:dyDescent="0.3">
      <c r="A18" s="12"/>
      <c r="F18" s="19"/>
    </row>
    <row r="19" spans="1:6" x14ac:dyDescent="0.3">
      <c r="A19" s="12"/>
      <c r="F19" s="19"/>
    </row>
    <row r="20" spans="1:6" x14ac:dyDescent="0.3">
      <c r="A20" s="12"/>
      <c r="F20" s="19"/>
    </row>
    <row r="21" spans="1:6" x14ac:dyDescent="0.3">
      <c r="A21" s="12"/>
      <c r="F21" s="19"/>
    </row>
    <row r="22" spans="1:6" x14ac:dyDescent="0.3">
      <c r="A22" s="12"/>
      <c r="F22" s="19"/>
    </row>
    <row r="23" spans="1:6" x14ac:dyDescent="0.3">
      <c r="A23" s="12"/>
      <c r="F23" s="19"/>
    </row>
    <row r="24" spans="1:6" x14ac:dyDescent="0.3">
      <c r="A24" s="12"/>
      <c r="F24" s="19"/>
    </row>
    <row r="25" spans="1:6" x14ac:dyDescent="0.3">
      <c r="A25" s="12"/>
      <c r="F25" s="19"/>
    </row>
    <row r="26" spans="1:6" x14ac:dyDescent="0.3">
      <c r="A26" s="12"/>
      <c r="F26" s="19"/>
    </row>
    <row r="27" spans="1:6" x14ac:dyDescent="0.3">
      <c r="A27" s="12"/>
      <c r="F27" s="19"/>
    </row>
    <row r="28" spans="1:6" x14ac:dyDescent="0.3">
      <c r="A28" s="12"/>
      <c r="F28" s="19"/>
    </row>
    <row r="29" spans="1:6" x14ac:dyDescent="0.3">
      <c r="A29" s="12"/>
      <c r="F29" s="19"/>
    </row>
    <row r="30" spans="1:6" x14ac:dyDescent="0.3">
      <c r="A30" s="12"/>
      <c r="F30" s="19"/>
    </row>
    <row r="31" spans="1:6" x14ac:dyDescent="0.3">
      <c r="A31" s="12"/>
      <c r="F31" s="19"/>
    </row>
    <row r="34" spans="1:6" x14ac:dyDescent="0.3">
      <c r="A34" s="12"/>
      <c r="F34" s="19"/>
    </row>
    <row r="35" spans="1:6" x14ac:dyDescent="0.3">
      <c r="A35" s="12"/>
      <c r="F35" s="19"/>
    </row>
    <row r="36" spans="1:6" x14ac:dyDescent="0.3">
      <c r="A36" s="12"/>
      <c r="F36" s="19"/>
    </row>
    <row r="37" spans="1:6" x14ac:dyDescent="0.3">
      <c r="A37" s="12"/>
      <c r="F37" s="19"/>
    </row>
    <row r="38" spans="1:6" x14ac:dyDescent="0.3">
      <c r="A38" s="12"/>
      <c r="F38" s="19"/>
    </row>
    <row r="39" spans="1:6" x14ac:dyDescent="0.3">
      <c r="A39" s="12"/>
      <c r="F39" s="19"/>
    </row>
    <row r="40" spans="1:6" x14ac:dyDescent="0.3">
      <c r="A40" s="12"/>
      <c r="F40" s="19"/>
    </row>
    <row r="41" spans="1:6" x14ac:dyDescent="0.3">
      <c r="A41" s="12"/>
      <c r="F41" s="19"/>
    </row>
    <row r="42" spans="1:6" x14ac:dyDescent="0.3">
      <c r="A42" s="12"/>
      <c r="F42" s="19"/>
    </row>
    <row r="43" spans="1:6" x14ac:dyDescent="0.3">
      <c r="A43" s="12"/>
      <c r="F43" s="19"/>
    </row>
    <row r="44" spans="1:6" x14ac:dyDescent="0.3">
      <c r="A44" s="12"/>
      <c r="F44" s="19"/>
    </row>
    <row r="47" spans="1:6" x14ac:dyDescent="0.3">
      <c r="A47" s="12"/>
      <c r="F47" s="19"/>
    </row>
    <row r="48" spans="1:6" x14ac:dyDescent="0.3">
      <c r="A48" s="12"/>
      <c r="F48" s="19"/>
    </row>
    <row r="49" spans="1:6" x14ac:dyDescent="0.3">
      <c r="A49" s="12"/>
      <c r="F49" s="19"/>
    </row>
    <row r="50" spans="1:6" x14ac:dyDescent="0.3">
      <c r="A50" s="12"/>
      <c r="F50" s="19"/>
    </row>
    <row r="51" spans="1:6" x14ac:dyDescent="0.3">
      <c r="A51" s="12"/>
      <c r="F51" s="19"/>
    </row>
    <row r="52" spans="1:6" x14ac:dyDescent="0.3">
      <c r="A52" s="12"/>
      <c r="F52" s="19"/>
    </row>
    <row r="53" spans="1:6" x14ac:dyDescent="0.3">
      <c r="A53" s="12"/>
      <c r="F53" s="19"/>
    </row>
    <row r="54" spans="1:6" x14ac:dyDescent="0.3">
      <c r="A54" s="12"/>
      <c r="F54" s="19"/>
    </row>
    <row r="55" spans="1:6" x14ac:dyDescent="0.3">
      <c r="E55" s="6"/>
    </row>
    <row r="57" spans="1:6" x14ac:dyDescent="0.3">
      <c r="A57" s="12"/>
      <c r="F57" s="19"/>
    </row>
    <row r="58" spans="1:6" x14ac:dyDescent="0.3">
      <c r="A58" s="12"/>
      <c r="F58" s="19"/>
    </row>
    <row r="59" spans="1:6" x14ac:dyDescent="0.3">
      <c r="E59" s="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E163-F4E0-462E-B2BD-8E268F9911C8}">
  <sheetPr>
    <tabColor rgb="FF00B050"/>
  </sheetPr>
  <dimension ref="A1:J27"/>
  <sheetViews>
    <sheetView workbookViewId="0">
      <selection activeCell="K18" sqref="K18"/>
    </sheetView>
  </sheetViews>
  <sheetFormatPr defaultRowHeight="14.4" x14ac:dyDescent="0.3"/>
  <cols>
    <col min="3" max="4" width="9.5546875" bestFit="1" customWidth="1"/>
    <col min="5" max="5" width="11.88671875" customWidth="1"/>
    <col min="9" max="9" width="9.5546875" bestFit="1" customWidth="1"/>
  </cols>
  <sheetData>
    <row r="1" spans="1:10" x14ac:dyDescent="0.3">
      <c r="A1" t="str">
        <f>'FY 2024 2025'!$A$1</f>
        <v>AA Inc</v>
      </c>
    </row>
    <row r="2" spans="1:10" x14ac:dyDescent="0.3">
      <c r="A2" t="s">
        <v>225</v>
      </c>
    </row>
    <row r="3" spans="1:10" x14ac:dyDescent="0.3">
      <c r="A3" t="s">
        <v>708</v>
      </c>
    </row>
    <row r="5" spans="1:10" x14ac:dyDescent="0.3">
      <c r="A5" s="48" t="s">
        <v>227</v>
      </c>
      <c r="B5" t="s">
        <v>723</v>
      </c>
    </row>
    <row r="7" spans="1:10" x14ac:dyDescent="0.3">
      <c r="B7" s="50" t="s">
        <v>724</v>
      </c>
      <c r="C7" s="25"/>
      <c r="D7" s="25"/>
      <c r="E7" s="29"/>
    </row>
    <row r="8" spans="1:10" x14ac:dyDescent="0.3">
      <c r="B8" s="30" t="s">
        <v>104</v>
      </c>
      <c r="C8" s="5">
        <v>6080.33</v>
      </c>
      <c r="D8" s="5"/>
      <c r="E8" s="31" t="s">
        <v>280</v>
      </c>
    </row>
    <row r="9" spans="1:10" x14ac:dyDescent="0.3">
      <c r="B9" s="30" t="s">
        <v>105</v>
      </c>
      <c r="C9" s="5"/>
      <c r="D9" s="5">
        <f>+C8</f>
        <v>6080.33</v>
      </c>
      <c r="E9" s="31" t="s">
        <v>33</v>
      </c>
    </row>
    <row r="10" spans="1:10" x14ac:dyDescent="0.3">
      <c r="B10" s="32"/>
      <c r="C10" s="33"/>
      <c r="D10" s="33"/>
      <c r="E10" s="34"/>
    </row>
    <row r="12" spans="1:10" x14ac:dyDescent="0.3">
      <c r="A12" s="48" t="s">
        <v>230</v>
      </c>
      <c r="B12" t="s">
        <v>737</v>
      </c>
      <c r="H12" s="100"/>
      <c r="I12" s="100"/>
      <c r="J12" s="57" t="s">
        <v>114</v>
      </c>
    </row>
    <row r="14" spans="1:10" x14ac:dyDescent="0.3">
      <c r="B14" s="50" t="s">
        <v>536</v>
      </c>
      <c r="C14" s="25"/>
      <c r="D14" s="25"/>
      <c r="E14" s="29"/>
    </row>
    <row r="15" spans="1:10" x14ac:dyDescent="0.3">
      <c r="B15" s="30" t="s">
        <v>104</v>
      </c>
      <c r="C15" s="5">
        <v>765.37</v>
      </c>
      <c r="D15" s="5"/>
      <c r="E15" s="96" t="s">
        <v>280</v>
      </c>
    </row>
    <row r="16" spans="1:10" x14ac:dyDescent="0.3">
      <c r="B16" s="30" t="s">
        <v>357</v>
      </c>
      <c r="C16" s="5">
        <f>D17-C15</f>
        <v>6299.62</v>
      </c>
      <c r="E16" s="97" t="s">
        <v>735</v>
      </c>
    </row>
    <row r="17" spans="1:10" x14ac:dyDescent="0.3">
      <c r="B17" s="30" t="s">
        <v>105</v>
      </c>
      <c r="C17" s="5"/>
      <c r="D17" s="5">
        <v>7064.99</v>
      </c>
      <c r="E17" s="96" t="s">
        <v>33</v>
      </c>
    </row>
    <row r="18" spans="1:10" x14ac:dyDescent="0.3">
      <c r="B18" s="32"/>
      <c r="C18" s="33"/>
      <c r="D18" s="33"/>
      <c r="E18" s="34"/>
    </row>
    <row r="20" spans="1:10" x14ac:dyDescent="0.3">
      <c r="A20" s="48" t="s">
        <v>319</v>
      </c>
      <c r="B20" t="s">
        <v>738</v>
      </c>
      <c r="H20" s="100"/>
      <c r="I20" s="100"/>
      <c r="J20" s="57" t="s">
        <v>114</v>
      </c>
    </row>
    <row r="22" spans="1:10" x14ac:dyDescent="0.3">
      <c r="B22" s="50" t="s">
        <v>536</v>
      </c>
      <c r="C22" s="25"/>
      <c r="D22" s="25"/>
      <c r="E22" s="29"/>
    </row>
    <row r="23" spans="1:10" x14ac:dyDescent="0.3">
      <c r="B23" s="30" t="s">
        <v>104</v>
      </c>
      <c r="C23" s="5">
        <v>161.12</v>
      </c>
      <c r="D23" s="5"/>
      <c r="E23" s="96" t="s">
        <v>280</v>
      </c>
    </row>
    <row r="24" spans="1:10" x14ac:dyDescent="0.3">
      <c r="B24" s="30" t="s">
        <v>357</v>
      </c>
      <c r="C24" s="5">
        <f>D25-C23</f>
        <v>1326.1799999999998</v>
      </c>
      <c r="E24" s="97" t="s">
        <v>735</v>
      </c>
      <c r="I24" s="53">
        <f>8414+1562</f>
        <v>9976</v>
      </c>
      <c r="J24" s="57" t="s">
        <v>741</v>
      </c>
    </row>
    <row r="25" spans="1:10" x14ac:dyDescent="0.3">
      <c r="B25" s="30" t="s">
        <v>105</v>
      </c>
      <c r="C25" s="5"/>
      <c r="D25" s="5">
        <v>1487.3</v>
      </c>
      <c r="E25" s="96" t="s">
        <v>33</v>
      </c>
      <c r="I25" s="5">
        <f>C24+C16</f>
        <v>7625.7999999999993</v>
      </c>
      <c r="J25" s="57" t="s">
        <v>743</v>
      </c>
    </row>
    <row r="26" spans="1:10" x14ac:dyDescent="0.3">
      <c r="B26" s="32"/>
      <c r="C26" s="33"/>
      <c r="D26" s="33"/>
      <c r="E26" s="34"/>
      <c r="I26" s="5">
        <f>I24-I25</f>
        <v>2350.2000000000007</v>
      </c>
      <c r="J26" s="57" t="s">
        <v>742</v>
      </c>
    </row>
    <row r="27" spans="1:10" x14ac:dyDescent="0.3">
      <c r="J27" s="57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0CC8-7BBD-4035-9DAF-A71A5AAF3FE3}">
  <dimension ref="A1:I39"/>
  <sheetViews>
    <sheetView topLeftCell="A16"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625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45017</v>
      </c>
      <c r="C6" s="4" t="s">
        <v>10</v>
      </c>
      <c r="D6" s="4" t="s">
        <v>11</v>
      </c>
      <c r="E6" s="24">
        <v>45382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2022 2023'!E8</f>
        <v>258268.24000000005</v>
      </c>
      <c r="C8" s="5">
        <f>+'Office &amp; Computer Equip'!F142</f>
        <v>27761.519999999997</v>
      </c>
      <c r="D8" s="5">
        <f>-15948.18-743.28-27920.72-18264.43</f>
        <v>-62876.61</v>
      </c>
      <c r="E8" s="5">
        <f>SUM(B8:D8)</f>
        <v>223153.15000000008</v>
      </c>
      <c r="F8" s="8" t="s">
        <v>17</v>
      </c>
    </row>
    <row r="9" spans="1:6" x14ac:dyDescent="0.3">
      <c r="A9" t="s">
        <v>282</v>
      </c>
      <c r="B9" s="5">
        <f>+'FY 2022 2023'!E9</f>
        <v>167984.96</v>
      </c>
      <c r="C9" s="5"/>
      <c r="D9" s="5">
        <v>-4277.8599999999997</v>
      </c>
      <c r="E9" s="5">
        <f t="shared" ref="E9:E14" si="0">SUM(B9:D9)</f>
        <v>163707.1</v>
      </c>
      <c r="F9" s="8" t="s">
        <v>17</v>
      </c>
    </row>
    <row r="10" spans="1:6" x14ac:dyDescent="0.3">
      <c r="A10" t="s">
        <v>3</v>
      </c>
      <c r="B10" s="5">
        <f>+'FY 2022 2023'!E10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2022 2023'!E11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2022 2023'!E12</f>
        <v>2247549.2999999998</v>
      </c>
      <c r="C12" s="5">
        <f>+'Plant Equip'!F109</f>
        <v>35550.099999999991</v>
      </c>
      <c r="D12" s="5">
        <f>-11006.47-2702.37-139204-1627</f>
        <v>-154539.84</v>
      </c>
      <c r="E12" s="5">
        <f t="shared" si="0"/>
        <v>2128559.56</v>
      </c>
      <c r="F12" s="8" t="s">
        <v>17</v>
      </c>
    </row>
    <row r="13" spans="1:6" x14ac:dyDescent="0.3">
      <c r="A13" t="s">
        <v>6</v>
      </c>
      <c r="B13" s="5">
        <f>+'FY 2022 2023'!E13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2022 2023'!E14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2673802.5</v>
      </c>
      <c r="C15" s="6">
        <f t="shared" ref="C15:E15" si="1">SUM(C8:C14)</f>
        <v>63311.619999999988</v>
      </c>
      <c r="D15" s="6">
        <f t="shared" si="1"/>
        <v>-221694.31</v>
      </c>
      <c r="E15" s="55">
        <f t="shared" si="1"/>
        <v>2515419.81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24">
        <f>+B6</f>
        <v>45017</v>
      </c>
      <c r="C18" s="4" t="s">
        <v>10</v>
      </c>
      <c r="D18" s="4" t="s">
        <v>11</v>
      </c>
      <c r="E18" s="24">
        <f>+E6</f>
        <v>45382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2022 2023'!E20</f>
        <v>-196576.99</v>
      </c>
      <c r="C20" s="5">
        <f>-1623.55-724.61-1673.36-724.61-1754.89-971.88-1754.98-971.9-1793.86-971.86-1793.93-971.89-1793.85-981.65-1741.84-981.58-1787.87-981.65-1766.7-981.65-30.78-1585.51-981.62-1536.46-981.63-4.09</f>
        <v>-31868.2</v>
      </c>
      <c r="D20" s="5">
        <f>15948.18+743.28+27381.5+18264.43-731.2</f>
        <v>61606.19</v>
      </c>
      <c r="E20" s="5">
        <f>SUM(B20:D20)</f>
        <v>-166839</v>
      </c>
      <c r="F20" s="8" t="s">
        <v>17</v>
      </c>
    </row>
    <row r="21" spans="1:9" x14ac:dyDescent="0.3">
      <c r="A21" t="s">
        <v>37</v>
      </c>
      <c r="B21" s="5">
        <f>+'FY 2022 2023'!E21</f>
        <v>-141030.71000000002</v>
      </c>
      <c r="C21" s="5">
        <f>-948.25-858.2-743.76-743.74-692.88-692.8-692.81-692.86-692.83-692.84-692.85-692.82</f>
        <v>-8836.6400000000012</v>
      </c>
      <c r="D21" s="5">
        <v>3055.61</v>
      </c>
      <c r="E21" s="5">
        <f t="shared" ref="E21:E25" si="2">SUM(B21:D21)</f>
        <v>-146811.74000000005</v>
      </c>
      <c r="F21" s="8" t="s">
        <v>17</v>
      </c>
    </row>
    <row r="22" spans="1:9" x14ac:dyDescent="0.3">
      <c r="A22" t="s">
        <v>3</v>
      </c>
      <c r="B22" s="5">
        <f>+'FY 2022 2023'!E22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2022 2023'!E23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2022 2023'!E24</f>
        <v>-2060353.0699999998</v>
      </c>
      <c r="C24" s="5">
        <f>-4410.42-4371.85-4454.41-5028.45-5020.76-4979.87+596.05+596.05+596.05-4383.78-4321.87-4321.84-4408.25-4408.33-4419.07</f>
        <v>-52740.750000000007</v>
      </c>
      <c r="D24" s="5">
        <f>8030.79+2702.37+139204+1627</f>
        <v>151564.16</v>
      </c>
      <c r="E24" s="5">
        <f t="shared" si="2"/>
        <v>-1961529.66</v>
      </c>
      <c r="F24" s="8" t="s">
        <v>17</v>
      </c>
    </row>
    <row r="25" spans="1:9" x14ac:dyDescent="0.3">
      <c r="A25" t="s">
        <v>40</v>
      </c>
      <c r="B25" s="5">
        <f>+'FY 2022 2023'!E25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-2397960.77</v>
      </c>
      <c r="C26" s="6">
        <f t="shared" ref="C26:E26" si="3">SUM(C20:C25)</f>
        <v>-93445.590000000011</v>
      </c>
      <c r="D26" s="6">
        <f t="shared" si="3"/>
        <v>216225.96000000002</v>
      </c>
      <c r="E26" s="6">
        <f t="shared" si="3"/>
        <v>-2275180.4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275841.73</v>
      </c>
      <c r="C28" s="6">
        <f>+C15+C26</f>
        <v>-30133.970000000023</v>
      </c>
      <c r="D28" s="6">
        <f>+D15+D26</f>
        <v>-5468.3499999999767</v>
      </c>
      <c r="E28" s="55">
        <f>+E15+E26</f>
        <v>240239.41000000015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2022 2023'!E30</f>
        <v>41752.9</v>
      </c>
      <c r="C30" s="5"/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2022 2023'!E31</f>
        <v>-8422.8700000000008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-10573.390000000001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309171.75999999989</v>
      </c>
      <c r="C33" s="10">
        <f>+C15+C30+C26+C31</f>
        <v>-32284.490000000023</v>
      </c>
      <c r="D33" s="10">
        <f>+D15+D30+D26+D31</f>
        <v>-5468.3499999999767</v>
      </c>
      <c r="E33" s="20">
        <f>+E15+E30+E26+E31</f>
        <v>271418.92000000004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FF8C-7497-41A0-9404-0A7A762B5C00}">
  <dimension ref="A1:K128"/>
  <sheetViews>
    <sheetView topLeftCell="A103" workbookViewId="0"/>
  </sheetViews>
  <sheetFormatPr defaultRowHeight="14.4" x14ac:dyDescent="0.3"/>
  <cols>
    <col min="1" max="1" width="5" customWidth="1"/>
    <col min="3" max="3" width="11.109375" bestFit="1" customWidth="1"/>
    <col min="4" max="4" width="12.33203125" customWidth="1"/>
    <col min="5" max="5" width="10.6640625" customWidth="1"/>
  </cols>
  <sheetData>
    <row r="1" spans="1:5" x14ac:dyDescent="0.3">
      <c r="A1" s="11" t="str">
        <f>'FY 2024 2025'!$A$1</f>
        <v>AA Inc</v>
      </c>
    </row>
    <row r="2" spans="1:5" x14ac:dyDescent="0.3">
      <c r="A2" t="s">
        <v>225</v>
      </c>
    </row>
    <row r="3" spans="1:5" x14ac:dyDescent="0.3">
      <c r="A3" t="s">
        <v>625</v>
      </c>
    </row>
    <row r="5" spans="1:5" x14ac:dyDescent="0.3">
      <c r="A5" s="48" t="s">
        <v>227</v>
      </c>
      <c r="B5" t="s">
        <v>646</v>
      </c>
    </row>
    <row r="7" spans="1:5" x14ac:dyDescent="0.3">
      <c r="B7" s="69" t="s">
        <v>640</v>
      </c>
      <c r="C7" s="70"/>
      <c r="D7" s="70"/>
      <c r="E7" s="71"/>
    </row>
    <row r="8" spans="1:5" x14ac:dyDescent="0.3">
      <c r="B8" s="72" t="s">
        <v>104</v>
      </c>
      <c r="C8" s="73">
        <v>3182.67</v>
      </c>
      <c r="D8" s="73"/>
      <c r="E8" s="74" t="s">
        <v>280</v>
      </c>
    </row>
    <row r="9" spans="1:5" x14ac:dyDescent="0.3">
      <c r="B9" s="72" t="s">
        <v>105</v>
      </c>
      <c r="C9" s="73"/>
      <c r="D9" s="73">
        <f>+C8</f>
        <v>3182.67</v>
      </c>
      <c r="E9" s="74" t="s">
        <v>33</v>
      </c>
    </row>
    <row r="10" spans="1:5" x14ac:dyDescent="0.3">
      <c r="B10" s="75"/>
      <c r="C10" s="76"/>
      <c r="D10" s="76"/>
      <c r="E10" s="77"/>
    </row>
    <row r="12" spans="1:5" x14ac:dyDescent="0.3">
      <c r="A12" s="48" t="s">
        <v>230</v>
      </c>
      <c r="B12" t="s">
        <v>647</v>
      </c>
    </row>
    <row r="14" spans="1:5" x14ac:dyDescent="0.3">
      <c r="B14" s="69" t="s">
        <v>641</v>
      </c>
      <c r="C14" s="70"/>
      <c r="D14" s="70"/>
      <c r="E14" s="71"/>
    </row>
    <row r="15" spans="1:5" x14ac:dyDescent="0.3">
      <c r="B15" s="72" t="s">
        <v>104</v>
      </c>
      <c r="C15" s="73">
        <v>3186.38</v>
      </c>
      <c r="D15" s="73"/>
      <c r="E15" s="74" t="s">
        <v>280</v>
      </c>
    </row>
    <row r="16" spans="1:5" x14ac:dyDescent="0.3">
      <c r="B16" s="72" t="s">
        <v>105</v>
      </c>
      <c r="C16" s="73"/>
      <c r="D16" s="73">
        <f>+C15</f>
        <v>3186.38</v>
      </c>
      <c r="E16" s="74" t="s">
        <v>33</v>
      </c>
    </row>
    <row r="17" spans="1:5" x14ac:dyDescent="0.3">
      <c r="B17" s="75"/>
      <c r="C17" s="76"/>
      <c r="D17" s="76"/>
      <c r="E17" s="77"/>
    </row>
    <row r="19" spans="1:5" x14ac:dyDescent="0.3">
      <c r="A19" s="48" t="s">
        <v>319</v>
      </c>
      <c r="B19" t="s">
        <v>648</v>
      </c>
    </row>
    <row r="21" spans="1:5" x14ac:dyDescent="0.3">
      <c r="B21" s="69" t="s">
        <v>642</v>
      </c>
      <c r="C21" s="70"/>
      <c r="D21" s="70"/>
      <c r="E21" s="71"/>
    </row>
    <row r="22" spans="1:5" x14ac:dyDescent="0.3">
      <c r="B22" s="72" t="s">
        <v>104</v>
      </c>
      <c r="C22" s="73">
        <v>830.87</v>
      </c>
      <c r="D22" s="73"/>
      <c r="E22" s="74" t="s">
        <v>280</v>
      </c>
    </row>
    <row r="23" spans="1:5" x14ac:dyDescent="0.3">
      <c r="B23" s="72" t="s">
        <v>357</v>
      </c>
      <c r="C23" s="73">
        <f>+D24-C22</f>
        <v>1487.8400000000001</v>
      </c>
      <c r="D23" s="73"/>
      <c r="E23" s="74" t="s">
        <v>279</v>
      </c>
    </row>
    <row r="24" spans="1:5" x14ac:dyDescent="0.3">
      <c r="B24" s="72" t="s">
        <v>105</v>
      </c>
      <c r="C24" s="73"/>
      <c r="D24" s="73">
        <v>2318.71</v>
      </c>
      <c r="E24" s="74" t="s">
        <v>33</v>
      </c>
    </row>
    <row r="25" spans="1:5" x14ac:dyDescent="0.3">
      <c r="B25" s="75"/>
      <c r="C25" s="76"/>
      <c r="D25" s="76"/>
      <c r="E25" s="77"/>
    </row>
    <row r="27" spans="1:5" x14ac:dyDescent="0.3">
      <c r="A27" s="48" t="s">
        <v>335</v>
      </c>
      <c r="B27" t="s">
        <v>649</v>
      </c>
    </row>
    <row r="29" spans="1:5" x14ac:dyDescent="0.3">
      <c r="B29" s="69" t="s">
        <v>643</v>
      </c>
      <c r="C29" s="70"/>
      <c r="D29" s="70"/>
      <c r="E29" s="71"/>
    </row>
    <row r="30" spans="1:5" x14ac:dyDescent="0.3">
      <c r="B30" s="72" t="s">
        <v>104</v>
      </c>
      <c r="C30" s="73">
        <v>830.87</v>
      </c>
      <c r="D30" s="73"/>
      <c r="E30" s="74" t="s">
        <v>280</v>
      </c>
    </row>
    <row r="31" spans="1:5" x14ac:dyDescent="0.3">
      <c r="B31" s="72" t="s">
        <v>357</v>
      </c>
      <c r="C31" s="73">
        <f>+D32-C30</f>
        <v>1487.8400000000001</v>
      </c>
      <c r="D31" s="73"/>
      <c r="E31" s="74" t="s">
        <v>279</v>
      </c>
    </row>
    <row r="32" spans="1:5" x14ac:dyDescent="0.3">
      <c r="B32" s="72" t="s">
        <v>105</v>
      </c>
      <c r="C32" s="73"/>
      <c r="D32" s="73">
        <v>2318.71</v>
      </c>
      <c r="E32" s="74" t="s">
        <v>33</v>
      </c>
    </row>
    <row r="33" spans="1:5" x14ac:dyDescent="0.3">
      <c r="B33" s="75"/>
      <c r="C33" s="76"/>
      <c r="D33" s="76"/>
      <c r="E33" s="77"/>
    </row>
    <row r="35" spans="1:5" x14ac:dyDescent="0.3">
      <c r="A35" s="48" t="s">
        <v>371</v>
      </c>
      <c r="B35" t="s">
        <v>659</v>
      </c>
    </row>
    <row r="37" spans="1:5" x14ac:dyDescent="0.3">
      <c r="B37" s="78" t="s">
        <v>662</v>
      </c>
      <c r="C37" s="79"/>
      <c r="D37" s="79"/>
      <c r="E37" s="80"/>
    </row>
    <row r="38" spans="1:5" x14ac:dyDescent="0.3">
      <c r="B38" s="81" t="s">
        <v>104</v>
      </c>
      <c r="C38" s="82">
        <v>5565.38</v>
      </c>
      <c r="D38" s="82"/>
      <c r="E38" s="83" t="s">
        <v>116</v>
      </c>
    </row>
    <row r="39" spans="1:5" x14ac:dyDescent="0.3">
      <c r="B39" s="81" t="s">
        <v>105</v>
      </c>
      <c r="C39" s="82"/>
      <c r="D39" s="82">
        <f>+C38</f>
        <v>5565.38</v>
      </c>
      <c r="E39" s="83" t="s">
        <v>32</v>
      </c>
    </row>
    <row r="40" spans="1:5" x14ac:dyDescent="0.3">
      <c r="B40" s="84"/>
      <c r="C40" s="85"/>
      <c r="D40" s="85"/>
      <c r="E40" s="86"/>
    </row>
    <row r="42" spans="1:5" x14ac:dyDescent="0.3">
      <c r="A42" s="48" t="s">
        <v>374</v>
      </c>
      <c r="B42" t="s">
        <v>660</v>
      </c>
    </row>
    <row r="44" spans="1:5" x14ac:dyDescent="0.3">
      <c r="B44" s="78" t="s">
        <v>663</v>
      </c>
      <c r="C44" s="79"/>
      <c r="D44" s="79"/>
      <c r="E44" s="80"/>
    </row>
    <row r="45" spans="1:5" x14ac:dyDescent="0.3">
      <c r="B45" s="81" t="s">
        <v>104</v>
      </c>
      <c r="C45" s="82">
        <v>5788.3</v>
      </c>
      <c r="D45" s="82"/>
      <c r="E45" s="83" t="s">
        <v>116</v>
      </c>
    </row>
    <row r="46" spans="1:5" x14ac:dyDescent="0.3">
      <c r="B46" s="81" t="s">
        <v>105</v>
      </c>
      <c r="C46" s="82"/>
      <c r="D46" s="82">
        <f>+C45</f>
        <v>5788.3</v>
      </c>
      <c r="E46" s="83" t="s">
        <v>32</v>
      </c>
    </row>
    <row r="47" spans="1:5" x14ac:dyDescent="0.3">
      <c r="B47" s="84"/>
      <c r="C47" s="85"/>
      <c r="D47" s="85"/>
      <c r="E47" s="86"/>
    </row>
    <row r="49" spans="1:5" x14ac:dyDescent="0.3">
      <c r="A49" s="48" t="s">
        <v>375</v>
      </c>
      <c r="B49" t="s">
        <v>661</v>
      </c>
    </row>
    <row r="51" spans="1:5" x14ac:dyDescent="0.3">
      <c r="B51" s="78" t="s">
        <v>664</v>
      </c>
      <c r="C51" s="79"/>
      <c r="D51" s="79"/>
      <c r="E51" s="80"/>
    </row>
    <row r="52" spans="1:5" x14ac:dyDescent="0.3">
      <c r="B52" s="81" t="s">
        <v>104</v>
      </c>
      <c r="C52" s="82">
        <v>4594.5</v>
      </c>
      <c r="D52" s="82"/>
      <c r="E52" s="83" t="s">
        <v>116</v>
      </c>
    </row>
    <row r="53" spans="1:5" x14ac:dyDescent="0.3">
      <c r="B53" s="81" t="s">
        <v>105</v>
      </c>
      <c r="C53" s="82"/>
      <c r="D53" s="82">
        <f>+C52</f>
        <v>4594.5</v>
      </c>
      <c r="E53" s="83" t="s">
        <v>32</v>
      </c>
    </row>
    <row r="54" spans="1:5" x14ac:dyDescent="0.3">
      <c r="B54" s="84"/>
      <c r="C54" s="85"/>
      <c r="D54" s="85"/>
      <c r="E54" s="86"/>
    </row>
    <row r="56" spans="1:5" x14ac:dyDescent="0.3">
      <c r="A56" s="48" t="s">
        <v>488</v>
      </c>
      <c r="B56" t="s">
        <v>676</v>
      </c>
    </row>
    <row r="58" spans="1:5" x14ac:dyDescent="0.3">
      <c r="B58" s="61" t="s">
        <v>664</v>
      </c>
      <c r="C58" s="62"/>
      <c r="D58" s="62"/>
      <c r="E58" s="63"/>
    </row>
    <row r="59" spans="1:5" x14ac:dyDescent="0.3">
      <c r="B59" s="64" t="s">
        <v>104</v>
      </c>
      <c r="C59" s="49">
        <v>3055.61</v>
      </c>
      <c r="D59" s="49"/>
      <c r="E59" s="65" t="s">
        <v>327</v>
      </c>
    </row>
    <row r="60" spans="1:5" x14ac:dyDescent="0.3">
      <c r="B60" s="64" t="s">
        <v>357</v>
      </c>
      <c r="C60" s="49">
        <f>D61-C59</f>
        <v>1222.2499999999995</v>
      </c>
      <c r="D60" s="49"/>
      <c r="E60" s="65" t="s">
        <v>338</v>
      </c>
    </row>
    <row r="61" spans="1:5" x14ac:dyDescent="0.3">
      <c r="B61" s="64" t="s">
        <v>105</v>
      </c>
      <c r="C61" s="49"/>
      <c r="D61" s="49">
        <v>4277.8599999999997</v>
      </c>
      <c r="E61" s="65" t="s">
        <v>34</v>
      </c>
    </row>
    <row r="62" spans="1:5" x14ac:dyDescent="0.3">
      <c r="B62" s="66"/>
      <c r="C62" s="67"/>
      <c r="D62" s="67"/>
      <c r="E62" s="68"/>
    </row>
    <row r="64" spans="1:5" x14ac:dyDescent="0.3">
      <c r="A64" s="48" t="s">
        <v>491</v>
      </c>
      <c r="B64" t="s">
        <v>680</v>
      </c>
    </row>
    <row r="66" spans="1:5" x14ac:dyDescent="0.3">
      <c r="B66" t="s">
        <v>681</v>
      </c>
    </row>
    <row r="67" spans="1:5" x14ac:dyDescent="0.3">
      <c r="B67" t="s">
        <v>682</v>
      </c>
    </row>
    <row r="68" spans="1:5" x14ac:dyDescent="0.3">
      <c r="B68" t="s">
        <v>683</v>
      </c>
    </row>
    <row r="69" spans="1:5" x14ac:dyDescent="0.3">
      <c r="B69" t="s">
        <v>684</v>
      </c>
    </row>
    <row r="71" spans="1:5" x14ac:dyDescent="0.3">
      <c r="A71" s="48" t="s">
        <v>501</v>
      </c>
      <c r="B71" t="s">
        <v>685</v>
      </c>
    </row>
    <row r="73" spans="1:5" x14ac:dyDescent="0.3">
      <c r="B73" s="69" t="s">
        <v>643</v>
      </c>
      <c r="C73" s="70"/>
      <c r="D73" s="70"/>
      <c r="E73" s="71"/>
    </row>
    <row r="74" spans="1:5" x14ac:dyDescent="0.3">
      <c r="B74" s="72" t="s">
        <v>104</v>
      </c>
      <c r="C74" s="73">
        <v>2702.37</v>
      </c>
      <c r="D74" s="73"/>
      <c r="E74" s="74" t="s">
        <v>280</v>
      </c>
    </row>
    <row r="75" spans="1:5" x14ac:dyDescent="0.3">
      <c r="B75" s="72" t="s">
        <v>105</v>
      </c>
      <c r="C75" s="73"/>
      <c r="D75" s="73">
        <v>2702.37</v>
      </c>
      <c r="E75" s="74" t="s">
        <v>33</v>
      </c>
    </row>
    <row r="76" spans="1:5" x14ac:dyDescent="0.3">
      <c r="B76" s="75"/>
      <c r="C76" s="76"/>
      <c r="D76" s="76"/>
      <c r="E76" s="77"/>
    </row>
    <row r="78" spans="1:5" x14ac:dyDescent="0.3">
      <c r="A78" s="48" t="s">
        <v>533</v>
      </c>
      <c r="B78" t="s">
        <v>695</v>
      </c>
    </row>
    <row r="80" spans="1:5" x14ac:dyDescent="0.3">
      <c r="B80" s="69" t="s">
        <v>703</v>
      </c>
      <c r="C80" s="70"/>
      <c r="D80" s="70"/>
      <c r="E80" s="71"/>
    </row>
    <row r="81" spans="1:7" x14ac:dyDescent="0.3">
      <c r="B81" s="72" t="s">
        <v>104</v>
      </c>
      <c r="C81" s="73">
        <v>139204</v>
      </c>
      <c r="D81" s="73"/>
      <c r="E81" s="74" t="s">
        <v>280</v>
      </c>
      <c r="G81" t="s">
        <v>704</v>
      </c>
    </row>
    <row r="82" spans="1:7" x14ac:dyDescent="0.3">
      <c r="B82" s="72" t="s">
        <v>105</v>
      </c>
      <c r="C82" s="73"/>
      <c r="D82" s="73">
        <f>+C81</f>
        <v>139204</v>
      </c>
      <c r="E82" s="74" t="s">
        <v>33</v>
      </c>
    </row>
    <row r="83" spans="1:7" x14ac:dyDescent="0.3">
      <c r="B83" s="75"/>
      <c r="C83" s="76"/>
      <c r="D83" s="76"/>
      <c r="E83" s="77"/>
    </row>
    <row r="85" spans="1:7" x14ac:dyDescent="0.3">
      <c r="B85" t="s">
        <v>696</v>
      </c>
    </row>
    <row r="86" spans="1:7" x14ac:dyDescent="0.3">
      <c r="B86" s="60" t="s">
        <v>697</v>
      </c>
    </row>
    <row r="87" spans="1:7" x14ac:dyDescent="0.3">
      <c r="B87" s="60" t="s">
        <v>698</v>
      </c>
    </row>
    <row r="88" spans="1:7" x14ac:dyDescent="0.3">
      <c r="B88" s="60" t="s">
        <v>699</v>
      </c>
    </row>
    <row r="90" spans="1:7" x14ac:dyDescent="0.3">
      <c r="A90" s="48" t="s">
        <v>700</v>
      </c>
      <c r="B90" t="s">
        <v>701</v>
      </c>
    </row>
    <row r="92" spans="1:7" x14ac:dyDescent="0.3">
      <c r="B92" s="87" t="s">
        <v>702</v>
      </c>
      <c r="C92" s="88"/>
      <c r="D92" s="88"/>
      <c r="E92" s="89"/>
    </row>
    <row r="93" spans="1:7" x14ac:dyDescent="0.3">
      <c r="B93" s="90" t="s">
        <v>104</v>
      </c>
      <c r="C93" s="91">
        <v>743.28</v>
      </c>
      <c r="D93" s="91"/>
      <c r="E93" s="92" t="s">
        <v>116</v>
      </c>
    </row>
    <row r="94" spans="1:7" x14ac:dyDescent="0.3">
      <c r="B94" s="90" t="s">
        <v>105</v>
      </c>
      <c r="C94" s="91"/>
      <c r="D94" s="91">
        <f>+C93</f>
        <v>743.28</v>
      </c>
      <c r="E94" s="92" t="s">
        <v>32</v>
      </c>
    </row>
    <row r="95" spans="1:7" x14ac:dyDescent="0.3">
      <c r="B95" s="93"/>
      <c r="C95" s="94"/>
      <c r="D95" s="94"/>
      <c r="E95" s="95"/>
    </row>
    <row r="97" spans="1:11" x14ac:dyDescent="0.3">
      <c r="A97" s="48" t="s">
        <v>705</v>
      </c>
      <c r="B97" t="s">
        <v>706</v>
      </c>
    </row>
    <row r="99" spans="1:11" x14ac:dyDescent="0.3">
      <c r="B99" s="69" t="s">
        <v>707</v>
      </c>
      <c r="C99" s="70"/>
      <c r="D99" s="70"/>
      <c r="E99" s="71"/>
    </row>
    <row r="100" spans="1:11" x14ac:dyDescent="0.3">
      <c r="B100" s="72" t="s">
        <v>104</v>
      </c>
      <c r="C100" s="73">
        <v>1627</v>
      </c>
      <c r="D100" s="73"/>
      <c r="E100" s="74" t="s">
        <v>280</v>
      </c>
    </row>
    <row r="101" spans="1:11" x14ac:dyDescent="0.3">
      <c r="B101" s="72" t="s">
        <v>105</v>
      </c>
      <c r="C101" s="73"/>
      <c r="D101" s="73">
        <f>+C100</f>
        <v>1627</v>
      </c>
      <c r="E101" s="74" t="s">
        <v>33</v>
      </c>
    </row>
    <row r="102" spans="1:11" x14ac:dyDescent="0.3">
      <c r="B102" s="75"/>
      <c r="C102" s="76"/>
      <c r="D102" s="76"/>
      <c r="E102" s="77"/>
    </row>
    <row r="104" spans="1:11" x14ac:dyDescent="0.3">
      <c r="A104" s="48" t="s">
        <v>709</v>
      </c>
      <c r="B104" t="s">
        <v>710</v>
      </c>
    </row>
    <row r="106" spans="1:11" x14ac:dyDescent="0.3">
      <c r="B106" s="87" t="s">
        <v>713</v>
      </c>
      <c r="C106" s="88"/>
      <c r="D106" s="88"/>
      <c r="E106" s="89"/>
    </row>
    <row r="107" spans="1:11" x14ac:dyDescent="0.3">
      <c r="B107" s="90" t="s">
        <v>104</v>
      </c>
      <c r="C107" s="91">
        <f>2014.53+1698.7+1698.7+802.2+740.94+1571.51+1691.41+1411.08+1412.53+3263.82+1136.32+1034.56+2493.12+1588.94+1798.82+1798.82+1225.5</f>
        <v>27381.5</v>
      </c>
      <c r="D107" s="91"/>
      <c r="E107" s="92" t="s">
        <v>116</v>
      </c>
      <c r="H107" t="s">
        <v>32</v>
      </c>
      <c r="J107" t="s">
        <v>104</v>
      </c>
    </row>
    <row r="108" spans="1:11" x14ac:dyDescent="0.3">
      <c r="B108" s="90" t="s">
        <v>357</v>
      </c>
      <c r="C108" s="91">
        <f>+D109-C107</f>
        <v>539.22000000000116</v>
      </c>
      <c r="D108" s="91"/>
      <c r="E108" s="92" t="s">
        <v>279</v>
      </c>
      <c r="F108" t="s">
        <v>712</v>
      </c>
      <c r="H108">
        <v>2014.53</v>
      </c>
      <c r="J108">
        <v>2014.53</v>
      </c>
      <c r="K108">
        <v>110</v>
      </c>
    </row>
    <row r="109" spans="1:11" x14ac:dyDescent="0.3">
      <c r="B109" s="90" t="s">
        <v>105</v>
      </c>
      <c r="C109" s="91"/>
      <c r="D109" s="91">
        <f>2014.53+1698.7+1698.7+802.2+740.94+1571.51+1691.41+1411.08+1412.53+3263.82+1136.32+1034.56+2493.12+1588.94+1798.82+1798.82+1764.72</f>
        <v>27920.720000000001</v>
      </c>
      <c r="E109" s="92" t="s">
        <v>32</v>
      </c>
      <c r="H109">
        <v>1698.7</v>
      </c>
      <c r="J109">
        <v>1698.7</v>
      </c>
      <c r="K109">
        <v>151</v>
      </c>
    </row>
    <row r="110" spans="1:11" x14ac:dyDescent="0.3">
      <c r="B110" s="93"/>
      <c r="C110" s="94"/>
      <c r="D110" s="94"/>
      <c r="E110" s="95"/>
      <c r="H110">
        <v>1698.7</v>
      </c>
      <c r="J110">
        <v>1698.7</v>
      </c>
      <c r="K110">
        <v>153</v>
      </c>
    </row>
    <row r="111" spans="1:11" x14ac:dyDescent="0.3">
      <c r="H111">
        <v>802.2</v>
      </c>
      <c r="J111">
        <v>802.2</v>
      </c>
      <c r="K111">
        <v>182</v>
      </c>
    </row>
    <row r="112" spans="1:11" x14ac:dyDescent="0.3">
      <c r="A112" s="48" t="s">
        <v>709</v>
      </c>
      <c r="B112" t="s">
        <v>711</v>
      </c>
      <c r="H112">
        <v>740.94</v>
      </c>
      <c r="J112">
        <v>740.94</v>
      </c>
      <c r="K112">
        <v>196</v>
      </c>
    </row>
    <row r="113" spans="2:11" x14ac:dyDescent="0.3">
      <c r="H113">
        <v>1571.51</v>
      </c>
      <c r="J113">
        <v>1571.51</v>
      </c>
      <c r="K113">
        <v>198</v>
      </c>
    </row>
    <row r="114" spans="2:11" x14ac:dyDescent="0.3">
      <c r="B114" s="87" t="s">
        <v>714</v>
      </c>
      <c r="C114" s="88"/>
      <c r="D114" s="88"/>
      <c r="E114" s="89"/>
      <c r="H114">
        <v>743.28</v>
      </c>
      <c r="J114">
        <v>743.28</v>
      </c>
      <c r="K114">
        <v>323</v>
      </c>
    </row>
    <row r="115" spans="2:11" x14ac:dyDescent="0.3">
      <c r="B115" s="90" t="s">
        <v>104</v>
      </c>
      <c r="C115" s="91">
        <f>2522.96+2857.92+2659.54+960.36+9263.65</f>
        <v>18264.43</v>
      </c>
      <c r="D115" s="91"/>
      <c r="E115" s="92" t="s">
        <v>116</v>
      </c>
      <c r="H115">
        <v>1691.41</v>
      </c>
      <c r="J115">
        <v>1691.41</v>
      </c>
      <c r="K115">
        <v>351</v>
      </c>
    </row>
    <row r="116" spans="2:11" x14ac:dyDescent="0.3">
      <c r="B116" s="90" t="s">
        <v>105</v>
      </c>
      <c r="C116" s="91"/>
      <c r="D116" s="91">
        <f>+C115</f>
        <v>18264.43</v>
      </c>
      <c r="E116" s="92" t="s">
        <v>32</v>
      </c>
      <c r="H116">
        <v>1411.08</v>
      </c>
      <c r="J116">
        <v>1411.08</v>
      </c>
      <c r="K116">
        <v>354</v>
      </c>
    </row>
    <row r="117" spans="2:11" x14ac:dyDescent="0.3">
      <c r="B117" s="93"/>
      <c r="C117" s="94"/>
      <c r="D117" s="94"/>
      <c r="E117" s="95"/>
      <c r="H117">
        <v>1412.53</v>
      </c>
      <c r="J117">
        <v>1412.53</v>
      </c>
      <c r="K117">
        <v>359</v>
      </c>
    </row>
    <row r="118" spans="2:11" x14ac:dyDescent="0.3">
      <c r="H118">
        <v>3263.82</v>
      </c>
      <c r="J118">
        <v>3263.82</v>
      </c>
      <c r="K118">
        <v>366</v>
      </c>
    </row>
    <row r="119" spans="2:11" x14ac:dyDescent="0.3">
      <c r="H119">
        <v>1136.32</v>
      </c>
      <c r="J119">
        <v>1136.32</v>
      </c>
      <c r="K119">
        <v>392</v>
      </c>
    </row>
    <row r="120" spans="2:11" x14ac:dyDescent="0.3">
      <c r="H120">
        <v>1034.56</v>
      </c>
      <c r="J120">
        <v>1034.56</v>
      </c>
      <c r="K120">
        <v>396</v>
      </c>
    </row>
    <row r="121" spans="2:11" x14ac:dyDescent="0.3">
      <c r="H121">
        <v>2493.12</v>
      </c>
      <c r="J121">
        <v>2493.12</v>
      </c>
      <c r="K121">
        <v>398</v>
      </c>
    </row>
    <row r="122" spans="2:11" x14ac:dyDescent="0.3">
      <c r="H122">
        <v>1588.94</v>
      </c>
      <c r="J122">
        <v>1588.94</v>
      </c>
      <c r="K122">
        <v>412</v>
      </c>
    </row>
    <row r="123" spans="2:11" x14ac:dyDescent="0.3">
      <c r="H123">
        <v>1798.82</v>
      </c>
      <c r="J123">
        <v>1798.82</v>
      </c>
      <c r="K123">
        <v>415</v>
      </c>
    </row>
    <row r="124" spans="2:11" x14ac:dyDescent="0.3">
      <c r="H124">
        <v>1798.82</v>
      </c>
      <c r="J124">
        <v>1798.82</v>
      </c>
      <c r="K124">
        <v>418</v>
      </c>
    </row>
    <row r="125" spans="2:11" x14ac:dyDescent="0.3">
      <c r="H125">
        <v>1764.72</v>
      </c>
      <c r="J125">
        <v>490.2</v>
      </c>
      <c r="K125">
        <v>496</v>
      </c>
    </row>
    <row r="126" spans="2:11" x14ac:dyDescent="0.3">
      <c r="H126">
        <f>SUM(H108:H125)</f>
        <v>28664</v>
      </c>
      <c r="J126">
        <f>SUM(J108:J125)</f>
        <v>27389.48</v>
      </c>
    </row>
    <row r="127" spans="2:11" x14ac:dyDescent="0.3">
      <c r="H127">
        <v>28664</v>
      </c>
      <c r="J127">
        <v>27389.48</v>
      </c>
    </row>
    <row r="128" spans="2:11" x14ac:dyDescent="0.3">
      <c r="H128">
        <f>+H126-H127</f>
        <v>0</v>
      </c>
      <c r="J128">
        <f>+J126-J127</f>
        <v>0</v>
      </c>
    </row>
  </sheetData>
  <pageMargins left="0.45" right="0.2" top="0.75" bottom="0.75" header="0.3" footer="0.3"/>
  <pageSetup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opLeftCell="A13"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565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44652</v>
      </c>
      <c r="C6" s="4" t="s">
        <v>10</v>
      </c>
      <c r="D6" s="4" t="s">
        <v>11</v>
      </c>
      <c r="E6" s="24">
        <v>45016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2021 2022'!E8</f>
        <v>222214.80000000005</v>
      </c>
      <c r="C8" s="5">
        <f>+'Office &amp; Computer Equip'!F128</f>
        <v>52624.060000000005</v>
      </c>
      <c r="D8" s="5">
        <f>-778.62-15792</f>
        <v>-16570.62</v>
      </c>
      <c r="E8" s="5">
        <f>SUM(B8:D8)</f>
        <v>258268.24000000005</v>
      </c>
      <c r="F8" s="8" t="s">
        <v>17</v>
      </c>
    </row>
    <row r="9" spans="1:6" x14ac:dyDescent="0.3">
      <c r="A9" t="s">
        <v>282</v>
      </c>
      <c r="B9" s="5">
        <f>+'FY 2021 2022'!E9</f>
        <v>167984.96</v>
      </c>
      <c r="C9" s="5"/>
      <c r="D9" s="5"/>
      <c r="E9" s="5">
        <f t="shared" ref="E9:E14" si="0">SUM(B9:D9)</f>
        <v>167984.96</v>
      </c>
      <c r="F9" s="8" t="s">
        <v>17</v>
      </c>
    </row>
    <row r="10" spans="1:6" x14ac:dyDescent="0.3">
      <c r="A10" t="s">
        <v>3</v>
      </c>
      <c r="B10" s="5">
        <f>+'FY 2021 2022'!E10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2021 2022'!E11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2021 2022'!E12</f>
        <v>2204015.33</v>
      </c>
      <c r="C12" s="5">
        <f>+'Plant Equip'!F95</f>
        <v>46236.34</v>
      </c>
      <c r="D12" s="5">
        <v>-2702.37</v>
      </c>
      <c r="E12" s="5">
        <f t="shared" si="0"/>
        <v>2247549.2999999998</v>
      </c>
      <c r="F12" s="8" t="s">
        <v>17</v>
      </c>
    </row>
    <row r="13" spans="1:6" x14ac:dyDescent="0.3">
      <c r="A13" t="s">
        <v>6</v>
      </c>
      <c r="B13" s="5">
        <f>+'FY 2021 2022'!E13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2021 2022'!E14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2594215.09</v>
      </c>
      <c r="C15" s="6">
        <f t="shared" ref="C15:E15" si="1">SUM(C8:C14)</f>
        <v>98860.4</v>
      </c>
      <c r="D15" s="6">
        <f t="shared" si="1"/>
        <v>-19272.989999999998</v>
      </c>
      <c r="E15" s="55">
        <f t="shared" si="1"/>
        <v>2673802.5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24">
        <f>+B6</f>
        <v>44652</v>
      </c>
      <c r="C18" s="4" t="s">
        <v>10</v>
      </c>
      <c r="D18" s="4" t="s">
        <v>11</v>
      </c>
      <c r="E18" s="24">
        <f>+E6</f>
        <v>45016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2021 2022'!E20</f>
        <v>-187016.75999999998</v>
      </c>
      <c r="C20" s="5">
        <f>-1159.25-517.96-1382.25-517.94-1470.05-821.71-1470.06-821.71-1574.64-821.71-1324.74-821.7-1324.7-821.71-1465.09-895.32-1415.72-895.32-1415.74-895.35-1443.98-705.13-1443.94-705.13</f>
        <v>-26130.850000000002</v>
      </c>
      <c r="D20" s="5">
        <f>778.62+15792</f>
        <v>16570.62</v>
      </c>
      <c r="E20" s="5">
        <f>SUM(B20:D20)</f>
        <v>-196576.99</v>
      </c>
      <c r="F20" s="8" t="s">
        <v>17</v>
      </c>
    </row>
    <row r="21" spans="1:9" x14ac:dyDescent="0.3">
      <c r="A21" t="s">
        <v>37</v>
      </c>
      <c r="B21" s="5">
        <f>+'FY 2021 2022'!E21</f>
        <v>-127739.87000000001</v>
      </c>
      <c r="C21" s="5">
        <f>-1223.78-1223.73-1223.79-1223.72-1223.79-1172.28-1117.18-1043.71-994.1-948.25-948.26-948.25</f>
        <v>-13290.84</v>
      </c>
      <c r="D21" s="5"/>
      <c r="E21" s="5">
        <f t="shared" ref="E21:E25" si="2">SUM(B21:D21)</f>
        <v>-141030.71000000002</v>
      </c>
      <c r="F21" s="8" t="s">
        <v>17</v>
      </c>
    </row>
    <row r="22" spans="1:9" x14ac:dyDescent="0.3">
      <c r="A22" t="s">
        <v>3</v>
      </c>
      <c r="B22" s="5">
        <f>+'FY 2021 2022'!E22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2021 2022'!E23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2021 2022'!E24</f>
        <v>-2006237.8199999998</v>
      </c>
      <c r="C24" s="5">
        <f>-5064.93-5064.96-5136.09-5036.36-4830-4773.08-4773.08-4526.41-4526.41-4376.09-4337.31-4372.9</f>
        <v>-56817.62</v>
      </c>
      <c r="D24" s="5">
        <v>2702.37</v>
      </c>
      <c r="E24" s="5">
        <f t="shared" si="2"/>
        <v>-2060353.0699999998</v>
      </c>
      <c r="F24" s="8" t="s">
        <v>17</v>
      </c>
    </row>
    <row r="25" spans="1:9" x14ac:dyDescent="0.3">
      <c r="A25" t="s">
        <v>40</v>
      </c>
      <c r="B25" s="5">
        <f>+'FY 2021 2022'!E25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-2320994.4499999997</v>
      </c>
      <c r="C26" s="6">
        <f t="shared" ref="C26:E26" si="3">SUM(C20:C25)</f>
        <v>-96239.31</v>
      </c>
      <c r="D26" s="6">
        <f t="shared" si="3"/>
        <v>19272.989999999998</v>
      </c>
      <c r="E26" s="6">
        <f t="shared" si="3"/>
        <v>-2397960.77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273220.64000000013</v>
      </c>
      <c r="C28" s="6">
        <f>+C15+C26</f>
        <v>2621.0899999999965</v>
      </c>
      <c r="D28" s="6">
        <f>+D15+D26</f>
        <v>0</v>
      </c>
      <c r="E28" s="55">
        <f>+E15+E26</f>
        <v>275841.73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2021 2022'!E30</f>
        <v>41752.9</v>
      </c>
      <c r="C30" s="5"/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2021 2022'!E31</f>
        <v>-6272.35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-8422.8700000000008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308701.19000000006</v>
      </c>
      <c r="C33" s="10">
        <f>+C15+C30+C26+C31</f>
        <v>470.56999999999653</v>
      </c>
      <c r="D33" s="10">
        <f>+D15+D30+D26+D31</f>
        <v>0</v>
      </c>
      <c r="E33" s="20">
        <f>+E15+E30+E26+E31</f>
        <v>309171.75999999989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4.4" x14ac:dyDescent="0.3"/>
  <cols>
    <col min="3" max="3" width="10.109375" bestFit="1" customWidth="1"/>
    <col min="4" max="5" width="10.6640625" customWidth="1"/>
  </cols>
  <sheetData>
    <row r="1" spans="1:5" x14ac:dyDescent="0.3">
      <c r="A1" s="11" t="str">
        <f>'FY 2024 2025'!$A$1</f>
        <v>AA Inc</v>
      </c>
    </row>
    <row r="2" spans="1:5" x14ac:dyDescent="0.3">
      <c r="A2" t="s">
        <v>225</v>
      </c>
    </row>
    <row r="3" spans="1:5" x14ac:dyDescent="0.3">
      <c r="A3" t="s">
        <v>565</v>
      </c>
    </row>
    <row r="5" spans="1:5" x14ac:dyDescent="0.3">
      <c r="A5" s="48" t="s">
        <v>227</v>
      </c>
      <c r="B5" t="s">
        <v>577</v>
      </c>
    </row>
    <row r="7" spans="1:5" x14ac:dyDescent="0.3">
      <c r="B7" s="50" t="s">
        <v>578</v>
      </c>
      <c r="C7" s="25"/>
      <c r="D7" s="25"/>
      <c r="E7" s="29"/>
    </row>
    <row r="8" spans="1:5" x14ac:dyDescent="0.3">
      <c r="B8" s="30" t="s">
        <v>104</v>
      </c>
      <c r="C8" s="5">
        <v>2702.37</v>
      </c>
      <c r="D8" s="5"/>
      <c r="E8" s="31" t="s">
        <v>280</v>
      </c>
    </row>
    <row r="9" spans="1:5" x14ac:dyDescent="0.3">
      <c r="B9" s="30" t="s">
        <v>105</v>
      </c>
      <c r="C9" s="5"/>
      <c r="D9" s="5">
        <f>+C8</f>
        <v>2702.37</v>
      </c>
      <c r="E9" s="31" t="s">
        <v>33</v>
      </c>
    </row>
    <row r="10" spans="1:5" x14ac:dyDescent="0.3">
      <c r="B10" s="32"/>
      <c r="C10" s="33"/>
      <c r="D10" s="33"/>
      <c r="E10" s="34"/>
    </row>
    <row r="12" spans="1:5" x14ac:dyDescent="0.3">
      <c r="A12" s="48" t="s">
        <v>230</v>
      </c>
      <c r="B12" t="s">
        <v>626</v>
      </c>
    </row>
    <row r="14" spans="1:5" x14ac:dyDescent="0.3">
      <c r="B14" s="50" t="s">
        <v>628</v>
      </c>
      <c r="C14" s="25"/>
      <c r="D14" s="25"/>
      <c r="E14" s="29"/>
    </row>
    <row r="15" spans="1:5" x14ac:dyDescent="0.3">
      <c r="B15" s="30" t="s">
        <v>104</v>
      </c>
      <c r="C15" s="5">
        <v>778.62</v>
      </c>
      <c r="D15" s="5"/>
      <c r="E15" s="31" t="s">
        <v>116</v>
      </c>
    </row>
    <row r="16" spans="1:5" x14ac:dyDescent="0.3">
      <c r="B16" s="30" t="s">
        <v>105</v>
      </c>
      <c r="C16" s="5"/>
      <c r="D16" s="5">
        <f>+C15</f>
        <v>778.62</v>
      </c>
      <c r="E16" s="31" t="s">
        <v>32</v>
      </c>
    </row>
    <row r="17" spans="1:5" x14ac:dyDescent="0.3">
      <c r="B17" s="32"/>
      <c r="C17" s="33"/>
      <c r="D17" s="33"/>
      <c r="E17" s="34"/>
    </row>
    <row r="19" spans="1:5" x14ac:dyDescent="0.3">
      <c r="A19" s="48" t="s">
        <v>230</v>
      </c>
      <c r="B19" t="s">
        <v>627</v>
      </c>
    </row>
    <row r="21" spans="1:5" x14ac:dyDescent="0.3">
      <c r="B21" s="50" t="s">
        <v>629</v>
      </c>
      <c r="C21" s="25"/>
      <c r="D21" s="25"/>
      <c r="E21" s="29"/>
    </row>
    <row r="22" spans="1:5" x14ac:dyDescent="0.3">
      <c r="B22" s="30" t="s">
        <v>104</v>
      </c>
      <c r="C22" s="5">
        <v>15792</v>
      </c>
      <c r="D22" s="5"/>
      <c r="E22" s="31" t="s">
        <v>116</v>
      </c>
    </row>
    <row r="23" spans="1:5" x14ac:dyDescent="0.3">
      <c r="B23" s="30" t="s">
        <v>105</v>
      </c>
      <c r="C23" s="5"/>
      <c r="D23" s="5">
        <f>+C22</f>
        <v>15792</v>
      </c>
      <c r="E23" s="31" t="s">
        <v>32</v>
      </c>
    </row>
    <row r="24" spans="1:5" x14ac:dyDescent="0.3">
      <c r="B24" s="32"/>
      <c r="C24" s="33"/>
      <c r="D24" s="33"/>
      <c r="E24" s="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topLeftCell="A16"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535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44287</v>
      </c>
      <c r="C6" s="4" t="s">
        <v>10</v>
      </c>
      <c r="D6" s="4" t="s">
        <v>11</v>
      </c>
      <c r="E6" s="24">
        <v>44651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2020 2021'!E8</f>
        <v>277803.15000000002</v>
      </c>
      <c r="C8" s="5">
        <f>+'Office &amp; Computer Equip'!F107</f>
        <v>18921.259999999998</v>
      </c>
      <c r="D8" s="5">
        <f>-1563.28-1837.14-734.78-14152.04-34459-21763.37</f>
        <v>-74509.61</v>
      </c>
      <c r="E8" s="5">
        <f>SUM(B8:D8)</f>
        <v>222214.80000000005</v>
      </c>
      <c r="F8" s="8" t="s">
        <v>17</v>
      </c>
    </row>
    <row r="9" spans="1:6" x14ac:dyDescent="0.3">
      <c r="A9" t="s">
        <v>282</v>
      </c>
      <c r="B9" s="5">
        <f>+'FY 2020 2021'!E9</f>
        <v>167984.96</v>
      </c>
      <c r="C9" s="5"/>
      <c r="D9" s="5"/>
      <c r="E9" s="5">
        <f t="shared" ref="E9:E14" si="0">SUM(B9:D9)</f>
        <v>167984.96</v>
      </c>
      <c r="F9" s="8" t="s">
        <v>17</v>
      </c>
    </row>
    <row r="10" spans="1:6" x14ac:dyDescent="0.3">
      <c r="A10" t="s">
        <v>3</v>
      </c>
      <c r="B10" s="5">
        <f>+'FY 2019 2020'!E10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2019 2020'!E11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2020 2021'!E12</f>
        <v>2254981.9</v>
      </c>
      <c r="C12" s="5">
        <f>+'Plant Equip'!F83</f>
        <v>20548.560000000001</v>
      </c>
      <c r="D12" s="5">
        <f>-69000-2515.13</f>
        <v>-71515.13</v>
      </c>
      <c r="E12" s="5">
        <f t="shared" si="0"/>
        <v>2204015.33</v>
      </c>
      <c r="F12" s="8" t="s">
        <v>17</v>
      </c>
    </row>
    <row r="13" spans="1:6" x14ac:dyDescent="0.3">
      <c r="A13" t="s">
        <v>6</v>
      </c>
      <c r="B13" s="5">
        <f>+'FY 2019 2020'!E13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2019 2020'!E14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2700770.01</v>
      </c>
      <c r="C15" s="6">
        <f t="shared" ref="C15:E15" si="1">SUM(C8:C14)</f>
        <v>39469.82</v>
      </c>
      <c r="D15" s="6">
        <f t="shared" si="1"/>
        <v>-146024.74</v>
      </c>
      <c r="E15" s="55">
        <f t="shared" si="1"/>
        <v>2594215.09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24">
        <f>+B6</f>
        <v>44287</v>
      </c>
      <c r="C18" s="4" t="s">
        <v>10</v>
      </c>
      <c r="D18" s="4" t="s">
        <v>11</v>
      </c>
      <c r="E18" s="24">
        <f>+E6</f>
        <v>44651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2020 2021'!E20</f>
        <v>-245368.27</v>
      </c>
      <c r="C20" s="5">
        <f>-1246.84-621.82-1186.12-621.8-1186.06-621.82+6522.37-1157.86-621.8-1157.87-621.8-1409.81-621.81-1234.54-621.82-1234.6-621.8-1177.66-621.81-1177.61-594.53-1177.67-594.53-1133.49-594.53</f>
        <v>-15337.63</v>
      </c>
      <c r="D20" s="5">
        <f>1563.28+1837.14+734.78+14152.04+33228.3+410.23+21763.37</f>
        <v>73689.140000000014</v>
      </c>
      <c r="E20" s="5">
        <f>SUM(B20:D20)</f>
        <v>-187016.75999999998</v>
      </c>
      <c r="F20" s="8" t="s">
        <v>17</v>
      </c>
    </row>
    <row r="21" spans="1:9" x14ac:dyDescent="0.3">
      <c r="A21" t="s">
        <v>37</v>
      </c>
      <c r="B21" s="5">
        <f>+'FY 2020 2021'!E21</f>
        <v>-106300.92000000001</v>
      </c>
      <c r="C21" s="5">
        <f>-1254.41-1254.41-1254.4-6522.32-1254.39-1254.43-1254.37-1254.35-1232.29-1232.29-1223.76-1223.77-1223.76</f>
        <v>-21438.949999999997</v>
      </c>
      <c r="D21" s="5"/>
      <c r="E21" s="5">
        <f t="shared" ref="E21:E25" si="2">SUM(B21:D21)</f>
        <v>-127739.87000000001</v>
      </c>
      <c r="F21" s="8" t="s">
        <v>17</v>
      </c>
    </row>
    <row r="22" spans="1:9" x14ac:dyDescent="0.3">
      <c r="A22" t="s">
        <v>3</v>
      </c>
      <c r="B22" s="5">
        <f>+'FY 2019 2020'!E25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2019 2020'!E26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2020 2021'!E24</f>
        <v>-1970622.46</v>
      </c>
      <c r="C24" s="5">
        <f>-11541.89-11561.9-11574.34-8.94+0.02-11603.81-11596.47-11596.44-11621.63-5305.51-5305.48-5353.03-5235.7-4825.37</f>
        <v>-107130.48999999999</v>
      </c>
      <c r="D24" s="5">
        <f>69000+2515.13</f>
        <v>71515.13</v>
      </c>
      <c r="E24" s="5">
        <f t="shared" si="2"/>
        <v>-2006237.8199999998</v>
      </c>
      <c r="F24" s="8" t="s">
        <v>17</v>
      </c>
    </row>
    <row r="25" spans="1:9" x14ac:dyDescent="0.3">
      <c r="A25" t="s">
        <v>40</v>
      </c>
      <c r="B25" s="5">
        <f>+'FY 2019 2020'!E28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-2322291.65</v>
      </c>
      <c r="C26" s="6">
        <f t="shared" ref="C26:E26" si="3">SUM(C20:C25)</f>
        <v>-143907.06999999998</v>
      </c>
      <c r="D26" s="6">
        <f t="shared" si="3"/>
        <v>145204.27000000002</v>
      </c>
      <c r="E26" s="6">
        <f t="shared" si="3"/>
        <v>-2320994.4499999997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378478.35999999987</v>
      </c>
      <c r="C28" s="6">
        <f>+C15+C26</f>
        <v>-104437.24999999997</v>
      </c>
      <c r="D28" s="6">
        <f>+D15+D26</f>
        <v>-820.46999999997206</v>
      </c>
      <c r="E28" s="55">
        <f>+E15+E26</f>
        <v>273220.64000000013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2019 2020'!E17</f>
        <v>41752.9</v>
      </c>
      <c r="C30" s="5">
        <v>0</v>
      </c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2020 2021'!E31</f>
        <v>-4121.83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-6272.35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416109.42999999976</v>
      </c>
      <c r="C33" s="10">
        <f>+C15+C30+C26+C31</f>
        <v>-106587.76999999997</v>
      </c>
      <c r="D33" s="10">
        <f>+D15+D30+D26+D31</f>
        <v>-820.46999999997206</v>
      </c>
      <c r="E33" s="20">
        <f>+E15+E30+E26+E31</f>
        <v>308701.19000000006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4"/>
  <sheetViews>
    <sheetView topLeftCell="A55" workbookViewId="0"/>
  </sheetViews>
  <sheetFormatPr defaultRowHeight="14.4" x14ac:dyDescent="0.3"/>
  <cols>
    <col min="3" max="3" width="10.109375" bestFit="1" customWidth="1"/>
    <col min="4" max="5" width="10.6640625" customWidth="1"/>
  </cols>
  <sheetData>
    <row r="1" spans="1:5" x14ac:dyDescent="0.3">
      <c r="A1" s="11" t="str">
        <f>'FY 2024 2025'!$A$1</f>
        <v>AA Inc</v>
      </c>
    </row>
    <row r="2" spans="1:5" x14ac:dyDescent="0.3">
      <c r="A2" t="s">
        <v>225</v>
      </c>
    </row>
    <row r="3" spans="1:5" x14ac:dyDescent="0.3">
      <c r="A3" t="s">
        <v>535</v>
      </c>
    </row>
    <row r="5" spans="1:5" x14ac:dyDescent="0.3">
      <c r="A5" s="48" t="s">
        <v>227</v>
      </c>
      <c r="B5" t="s">
        <v>539</v>
      </c>
    </row>
    <row r="7" spans="1:5" x14ac:dyDescent="0.3">
      <c r="B7" s="50" t="s">
        <v>540</v>
      </c>
      <c r="C7" s="25"/>
      <c r="D7" s="25"/>
      <c r="E7" s="29"/>
    </row>
    <row r="8" spans="1:5" x14ac:dyDescent="0.3">
      <c r="B8" s="30" t="s">
        <v>104</v>
      </c>
      <c r="C8" s="5">
        <v>1563.28</v>
      </c>
      <c r="D8" s="5"/>
      <c r="E8" s="31" t="s">
        <v>116</v>
      </c>
    </row>
    <row r="9" spans="1:5" x14ac:dyDescent="0.3">
      <c r="B9" s="30" t="s">
        <v>105</v>
      </c>
      <c r="C9" s="5"/>
      <c r="D9" s="5">
        <f>+C8</f>
        <v>1563.28</v>
      </c>
      <c r="E9" s="31" t="s">
        <v>32</v>
      </c>
    </row>
    <row r="10" spans="1:5" x14ac:dyDescent="0.3">
      <c r="B10" s="32"/>
      <c r="C10" s="33"/>
      <c r="D10" s="33"/>
      <c r="E10" s="34"/>
    </row>
    <row r="12" spans="1:5" x14ac:dyDescent="0.3">
      <c r="A12" s="48" t="s">
        <v>230</v>
      </c>
      <c r="B12" t="s">
        <v>549</v>
      </c>
    </row>
    <row r="14" spans="1:5" x14ac:dyDescent="0.3">
      <c r="B14" s="50" t="s">
        <v>544</v>
      </c>
      <c r="C14" s="25"/>
      <c r="D14" s="25"/>
      <c r="E14" s="29"/>
    </row>
    <row r="15" spans="1:5" x14ac:dyDescent="0.3">
      <c r="B15" s="30" t="s">
        <v>104</v>
      </c>
      <c r="C15" s="5">
        <v>69000</v>
      </c>
      <c r="D15" s="5"/>
      <c r="E15" s="31" t="s">
        <v>280</v>
      </c>
    </row>
    <row r="16" spans="1:5" x14ac:dyDescent="0.3">
      <c r="B16" s="30" t="s">
        <v>105</v>
      </c>
      <c r="C16" s="5"/>
      <c r="D16" s="5">
        <f>+C15</f>
        <v>69000</v>
      </c>
      <c r="E16" s="31" t="s">
        <v>33</v>
      </c>
    </row>
    <row r="17" spans="1:5" x14ac:dyDescent="0.3">
      <c r="B17" s="32"/>
      <c r="C17" s="33"/>
      <c r="D17" s="33"/>
      <c r="E17" s="34"/>
    </row>
    <row r="19" spans="1:5" x14ac:dyDescent="0.3">
      <c r="A19" s="48" t="s">
        <v>319</v>
      </c>
      <c r="B19" t="s">
        <v>545</v>
      </c>
    </row>
    <row r="21" spans="1:5" x14ac:dyDescent="0.3">
      <c r="B21" s="50" t="s">
        <v>546</v>
      </c>
      <c r="C21" s="25"/>
      <c r="D21" s="25"/>
      <c r="E21" s="29"/>
    </row>
    <row r="22" spans="1:5" x14ac:dyDescent="0.3">
      <c r="B22" s="30" t="s">
        <v>104</v>
      </c>
      <c r="C22" s="5">
        <v>1837.14</v>
      </c>
      <c r="D22" s="5"/>
      <c r="E22" s="31" t="s">
        <v>116</v>
      </c>
    </row>
    <row r="23" spans="1:5" x14ac:dyDescent="0.3">
      <c r="B23" s="30" t="s">
        <v>105</v>
      </c>
      <c r="C23" s="5"/>
      <c r="D23" s="5">
        <f>+C22</f>
        <v>1837.14</v>
      </c>
      <c r="E23" s="31" t="s">
        <v>32</v>
      </c>
    </row>
    <row r="24" spans="1:5" x14ac:dyDescent="0.3">
      <c r="B24" s="32"/>
      <c r="C24" s="33"/>
      <c r="D24" s="33"/>
      <c r="E24" s="34"/>
    </row>
    <row r="27" spans="1:5" x14ac:dyDescent="0.3">
      <c r="A27" s="48" t="s">
        <v>335</v>
      </c>
      <c r="B27" t="s">
        <v>547</v>
      </c>
    </row>
    <row r="29" spans="1:5" x14ac:dyDescent="0.3">
      <c r="B29" s="50" t="s">
        <v>548</v>
      </c>
      <c r="C29" s="25"/>
      <c r="D29" s="25"/>
      <c r="E29" s="29"/>
    </row>
    <row r="30" spans="1:5" x14ac:dyDescent="0.3">
      <c r="B30" s="30" t="s">
        <v>104</v>
      </c>
      <c r="C30" s="5">
        <v>734.78</v>
      </c>
      <c r="D30" s="5"/>
      <c r="E30" s="31" t="s">
        <v>116</v>
      </c>
    </row>
    <row r="31" spans="1:5" x14ac:dyDescent="0.3">
      <c r="B31" s="30" t="s">
        <v>105</v>
      </c>
      <c r="C31" s="5"/>
      <c r="D31" s="5">
        <f>+C30</f>
        <v>734.78</v>
      </c>
      <c r="E31" s="31" t="s">
        <v>32</v>
      </c>
    </row>
    <row r="32" spans="1:5" x14ac:dyDescent="0.3">
      <c r="B32" s="32"/>
      <c r="C32" s="33"/>
      <c r="D32" s="33"/>
      <c r="E32" s="34"/>
    </row>
    <row r="34" spans="1:5" x14ac:dyDescent="0.3">
      <c r="A34" s="48" t="s">
        <v>371</v>
      </c>
      <c r="B34" t="s">
        <v>556</v>
      </c>
    </row>
    <row r="36" spans="1:5" x14ac:dyDescent="0.3">
      <c r="B36" s="50" t="s">
        <v>557</v>
      </c>
      <c r="C36" s="25"/>
      <c r="D36" s="25"/>
      <c r="E36" s="29"/>
    </row>
    <row r="37" spans="1:5" x14ac:dyDescent="0.3">
      <c r="B37" s="30" t="s">
        <v>104</v>
      </c>
      <c r="C37" s="5">
        <v>14152.04</v>
      </c>
      <c r="D37" s="5"/>
      <c r="E37" s="31" t="s">
        <v>116</v>
      </c>
    </row>
    <row r="38" spans="1:5" x14ac:dyDescent="0.3">
      <c r="B38" s="30" t="s">
        <v>105</v>
      </c>
      <c r="C38" s="5"/>
      <c r="D38" s="5">
        <f>+C37</f>
        <v>14152.04</v>
      </c>
      <c r="E38" s="31" t="s">
        <v>32</v>
      </c>
    </row>
    <row r="39" spans="1:5" x14ac:dyDescent="0.3">
      <c r="B39" s="32"/>
      <c r="C39" s="33"/>
      <c r="D39" s="33"/>
      <c r="E39" s="34"/>
    </row>
    <row r="41" spans="1:5" x14ac:dyDescent="0.3">
      <c r="A41" s="48" t="s">
        <v>374</v>
      </c>
      <c r="B41" t="s">
        <v>568</v>
      </c>
    </row>
    <row r="43" spans="1:5" x14ac:dyDescent="0.3">
      <c r="B43" s="50" t="s">
        <v>567</v>
      </c>
      <c r="C43" s="25"/>
      <c r="D43" s="25"/>
      <c r="E43" s="29"/>
    </row>
    <row r="44" spans="1:5" x14ac:dyDescent="0.3">
      <c r="B44" s="30" t="s">
        <v>104</v>
      </c>
      <c r="C44" s="5">
        <v>33228.300000000003</v>
      </c>
      <c r="D44" s="5"/>
      <c r="E44" s="31" t="s">
        <v>116</v>
      </c>
    </row>
    <row r="45" spans="1:5" x14ac:dyDescent="0.3">
      <c r="B45" s="30" t="s">
        <v>357</v>
      </c>
      <c r="C45" s="5">
        <f>+D46-C44</f>
        <v>1230.6999999999971</v>
      </c>
      <c r="D45" s="5"/>
      <c r="E45" s="31" t="s">
        <v>566</v>
      </c>
    </row>
    <row r="46" spans="1:5" x14ac:dyDescent="0.3">
      <c r="B46" s="30" t="s">
        <v>105</v>
      </c>
      <c r="C46" s="5"/>
      <c r="D46" s="5">
        <v>34459</v>
      </c>
      <c r="E46" s="31" t="s">
        <v>32</v>
      </c>
    </row>
    <row r="47" spans="1:5" x14ac:dyDescent="0.3">
      <c r="B47" s="32"/>
      <c r="C47" s="33"/>
      <c r="D47" s="33"/>
      <c r="E47" s="34"/>
    </row>
    <row r="49" spans="1:6" x14ac:dyDescent="0.3">
      <c r="A49" s="48" t="s">
        <v>375</v>
      </c>
      <c r="B49" t="s">
        <v>569</v>
      </c>
    </row>
    <row r="51" spans="1:6" x14ac:dyDescent="0.3">
      <c r="B51" s="50" t="s">
        <v>571</v>
      </c>
      <c r="C51" s="25"/>
      <c r="D51" s="25"/>
      <c r="E51" s="29"/>
    </row>
    <row r="52" spans="1:6" x14ac:dyDescent="0.3">
      <c r="B52" s="30" t="s">
        <v>104</v>
      </c>
      <c r="C52" s="5">
        <v>410.23</v>
      </c>
      <c r="D52" s="5"/>
      <c r="E52" s="31" t="s">
        <v>116</v>
      </c>
    </row>
    <row r="53" spans="1:6" x14ac:dyDescent="0.3">
      <c r="B53" s="30" t="s">
        <v>343</v>
      </c>
      <c r="C53" s="5"/>
      <c r="D53" s="5">
        <v>410.23</v>
      </c>
      <c r="E53" s="31" t="s">
        <v>566</v>
      </c>
    </row>
    <row r="54" spans="1:6" x14ac:dyDescent="0.3">
      <c r="B54" s="32"/>
      <c r="C54" s="33"/>
      <c r="D54" s="33"/>
      <c r="E54" s="34"/>
    </row>
    <row r="56" spans="1:6" x14ac:dyDescent="0.3">
      <c r="A56" s="48" t="s">
        <v>488</v>
      </c>
      <c r="B56" t="s">
        <v>570</v>
      </c>
      <c r="C56">
        <v>122</v>
      </c>
      <c r="D56">
        <v>186</v>
      </c>
      <c r="F56" t="s">
        <v>572</v>
      </c>
    </row>
    <row r="57" spans="1:6" x14ac:dyDescent="0.3">
      <c r="C57">
        <v>125</v>
      </c>
      <c r="D57">
        <v>188</v>
      </c>
      <c r="F57" t="s">
        <v>573</v>
      </c>
    </row>
    <row r="58" spans="1:6" x14ac:dyDescent="0.3">
      <c r="C58">
        <v>150</v>
      </c>
      <c r="D58">
        <v>189</v>
      </c>
    </row>
    <row r="59" spans="1:6" x14ac:dyDescent="0.3">
      <c r="C59">
        <v>152</v>
      </c>
      <c r="D59">
        <v>194</v>
      </c>
    </row>
    <row r="60" spans="1:6" x14ac:dyDescent="0.3">
      <c r="C60">
        <v>163</v>
      </c>
      <c r="D60">
        <v>326</v>
      </c>
    </row>
    <row r="61" spans="1:6" x14ac:dyDescent="0.3">
      <c r="C61">
        <v>180</v>
      </c>
      <c r="D61">
        <v>358</v>
      </c>
    </row>
    <row r="62" spans="1:6" x14ac:dyDescent="0.3">
      <c r="C62">
        <v>183</v>
      </c>
    </row>
    <row r="64" spans="1:6" x14ac:dyDescent="0.3">
      <c r="B64" s="50" t="s">
        <v>574</v>
      </c>
      <c r="C64" s="25"/>
      <c r="D64" s="25"/>
      <c r="E64" s="29"/>
    </row>
    <row r="65" spans="1:5" x14ac:dyDescent="0.3">
      <c r="B65" s="30" t="s">
        <v>104</v>
      </c>
      <c r="C65" s="5">
        <f>2822.43+2197.58+1698.7+1698.7+1705.7+1740.68+802.2+1730.08+1157+1158+1837.14+1563.28+1651.88</f>
        <v>21763.37</v>
      </c>
      <c r="D65" s="5"/>
      <c r="E65" s="31" t="s">
        <v>116</v>
      </c>
    </row>
    <row r="66" spans="1:5" x14ac:dyDescent="0.3">
      <c r="B66" s="30" t="s">
        <v>343</v>
      </c>
      <c r="C66" s="5"/>
      <c r="D66" s="5">
        <f>+C65</f>
        <v>21763.37</v>
      </c>
      <c r="E66" s="31" t="s">
        <v>32</v>
      </c>
    </row>
    <row r="67" spans="1:5" x14ac:dyDescent="0.3">
      <c r="B67" s="32"/>
      <c r="C67" s="33"/>
      <c r="D67" s="33"/>
      <c r="E67" s="34"/>
    </row>
    <row r="69" spans="1:5" x14ac:dyDescent="0.3">
      <c r="A69" s="48" t="s">
        <v>491</v>
      </c>
      <c r="B69" t="s">
        <v>575</v>
      </c>
    </row>
    <row r="71" spans="1:5" x14ac:dyDescent="0.3">
      <c r="B71" s="50" t="s">
        <v>576</v>
      </c>
      <c r="C71" s="25"/>
      <c r="D71" s="25"/>
      <c r="E71" s="29"/>
    </row>
    <row r="72" spans="1:5" x14ac:dyDescent="0.3">
      <c r="B72" s="30" t="s">
        <v>104</v>
      </c>
      <c r="C72" s="5">
        <v>2515.13</v>
      </c>
      <c r="D72" s="5"/>
      <c r="E72" s="31" t="s">
        <v>280</v>
      </c>
    </row>
    <row r="73" spans="1:5" x14ac:dyDescent="0.3">
      <c r="B73" s="30" t="s">
        <v>343</v>
      </c>
      <c r="C73" s="5"/>
      <c r="D73" s="5">
        <f>+C72</f>
        <v>2515.13</v>
      </c>
      <c r="E73" s="31" t="s">
        <v>33</v>
      </c>
    </row>
    <row r="74" spans="1:5" x14ac:dyDescent="0.3">
      <c r="B74" s="32"/>
      <c r="C74" s="33"/>
      <c r="D74" s="33"/>
      <c r="E74" s="34"/>
    </row>
  </sheetData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9"/>
  <sheetViews>
    <sheetView topLeftCell="A19"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452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43922</v>
      </c>
      <c r="C6" s="4" t="s">
        <v>10</v>
      </c>
      <c r="D6" s="4" t="s">
        <v>11</v>
      </c>
      <c r="E6" s="24">
        <v>44286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2019 2020'!E8</f>
        <v>294163.48</v>
      </c>
      <c r="C8" s="5">
        <f>+'Office &amp; Computer Equip'!F96</f>
        <v>9422.58</v>
      </c>
      <c r="D8" s="5">
        <f>-'Disposal FY 2020 2021'!D19-'Disposal FY 2020 2021'!D26-'Disposal FY 2020 2021'!D33-'Disposal FY 2020 2021'!D40-'Disposal FY 2020 2021'!D64-'Disposal FY 2020 2021'!D77-'Disposal FY 2020 2021'!D106</f>
        <v>-25782.910000000003</v>
      </c>
      <c r="E8" s="5">
        <f>SUM(B8:D8)</f>
        <v>277803.15000000002</v>
      </c>
      <c r="F8" s="8" t="s">
        <v>17</v>
      </c>
    </row>
    <row r="9" spans="1:6" x14ac:dyDescent="0.3">
      <c r="A9" t="s">
        <v>282</v>
      </c>
      <c r="B9" s="5">
        <f>+'FY 2019 2020'!E9</f>
        <v>167984.96</v>
      </c>
      <c r="C9" s="5"/>
      <c r="D9" s="5"/>
      <c r="E9" s="5">
        <f t="shared" ref="E9:E14" si="0">SUM(B9:D9)</f>
        <v>167984.96</v>
      </c>
      <c r="F9" s="8" t="s">
        <v>17</v>
      </c>
    </row>
    <row r="10" spans="1:6" x14ac:dyDescent="0.3">
      <c r="A10" t="s">
        <v>3</v>
      </c>
      <c r="B10" s="5">
        <f>+'FY 2019 2020'!E10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2019 2020'!E11</f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f>+'FY 2019 2020'!E12</f>
        <v>2248968.09</v>
      </c>
      <c r="C12" s="5">
        <f>+'Plant Equip'!F71</f>
        <v>10785.810000000001</v>
      </c>
      <c r="D12" s="5">
        <f>-2380-2392</f>
        <v>-4772</v>
      </c>
      <c r="E12" s="5">
        <f t="shared" si="0"/>
        <v>2254981.9</v>
      </c>
      <c r="F12" s="8" t="s">
        <v>17</v>
      </c>
    </row>
    <row r="13" spans="1:6" x14ac:dyDescent="0.3">
      <c r="A13" t="s">
        <v>6</v>
      </c>
      <c r="B13" s="5">
        <f>+'FY 2019 2020'!E13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2019 2020'!E14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2711116.53</v>
      </c>
      <c r="C15" s="6">
        <f t="shared" ref="C15:E15" si="1">SUM(C8:C14)</f>
        <v>20208.39</v>
      </c>
      <c r="D15" s="6">
        <f t="shared" si="1"/>
        <v>-30554.910000000003</v>
      </c>
      <c r="E15" s="55">
        <f t="shared" si="1"/>
        <v>2700770.01</v>
      </c>
      <c r="F15" s="54" t="s">
        <v>412</v>
      </c>
    </row>
    <row r="16" spans="1:6" x14ac:dyDescent="0.3">
      <c r="B16" s="5"/>
      <c r="C16" s="5"/>
      <c r="D16" s="5"/>
      <c r="E16" s="5"/>
    </row>
    <row r="17" spans="1:9" x14ac:dyDescent="0.3">
      <c r="B17" s="1" t="s">
        <v>8</v>
      </c>
      <c r="E17" s="1" t="s">
        <v>12</v>
      </c>
    </row>
    <row r="18" spans="1:9" x14ac:dyDescent="0.3">
      <c r="A18" t="s">
        <v>15</v>
      </c>
      <c r="B18" s="3" t="s">
        <v>538</v>
      </c>
      <c r="C18" s="4" t="s">
        <v>10</v>
      </c>
      <c r="D18" s="4" t="s">
        <v>11</v>
      </c>
      <c r="E18" s="24">
        <v>44286</v>
      </c>
    </row>
    <row r="19" spans="1:9" x14ac:dyDescent="0.3">
      <c r="B19" s="2"/>
      <c r="C19" s="1"/>
      <c r="D19" s="1"/>
      <c r="E19" s="2"/>
    </row>
    <row r="20" spans="1:9" x14ac:dyDescent="0.3">
      <c r="A20" t="s">
        <v>36</v>
      </c>
      <c r="B20" s="5">
        <f>+'FY 2019 2020'!E23</f>
        <v>-251663.66</v>
      </c>
      <c r="C20" s="5">
        <f>23.39-946.03-638.87-946-638.85-992.77-638.86+46.78-946-638.85-946.04-638.86-946.01-638.86-945.96-638.86-966.5-638.85-966.47-638.85-960.86-638.86-141.35-1102.22-638.86-1102.24-621.81</f>
        <v>-19487.520000000008</v>
      </c>
      <c r="D20" s="5">
        <f>+'Disposal FY 2020 2021'!C18+'Disposal FY 2020 2021'!C25+'Disposal FY 2020 2021'!C32+'Disposal FY 2020 2021'!C39+'Disposal FY 2020 2021'!C63+'Disposal FY 2020 2021'!C76+'Disposal FY 2020 2021'!C105</f>
        <v>25782.910000000003</v>
      </c>
      <c r="E20" s="5">
        <f>SUM(B20:D20)</f>
        <v>-245368.27</v>
      </c>
      <c r="F20" s="8" t="s">
        <v>17</v>
      </c>
    </row>
    <row r="21" spans="1:9" x14ac:dyDescent="0.3">
      <c r="A21" t="s">
        <v>37</v>
      </c>
      <c r="B21" s="5">
        <f>+'FY 2019 2020'!E24</f>
        <v>-91248.200000000012</v>
      </c>
      <c r="C21" s="5">
        <f>-1254.41-1254.4-1254.39-1254.38-1254.43-1254.37-1254.35-1254.41-1254.41-1254.39-1254.39-1254.39</f>
        <v>-15052.72</v>
      </c>
      <c r="D21" s="5"/>
      <c r="E21" s="5">
        <f t="shared" ref="E21:E25" si="2">SUM(B21:D21)</f>
        <v>-106300.92000000001</v>
      </c>
      <c r="F21" s="8" t="s">
        <v>17</v>
      </c>
    </row>
    <row r="22" spans="1:9" x14ac:dyDescent="0.3">
      <c r="A22" t="s">
        <v>3</v>
      </c>
      <c r="B22" s="5">
        <f>+'FY 2019 2020'!E25</f>
        <v>0</v>
      </c>
      <c r="C22" s="5"/>
      <c r="D22" s="5"/>
      <c r="E22" s="5">
        <f t="shared" si="2"/>
        <v>0</v>
      </c>
    </row>
    <row r="23" spans="1:9" x14ac:dyDescent="0.3">
      <c r="A23" t="s">
        <v>38</v>
      </c>
      <c r="B23" s="5">
        <f>+'FY 2019 2020'!E26</f>
        <v>0</v>
      </c>
      <c r="D23" s="5"/>
      <c r="E23" s="5">
        <f t="shared" si="2"/>
        <v>0</v>
      </c>
      <c r="F23" s="8" t="s">
        <v>17</v>
      </c>
    </row>
    <row r="24" spans="1:9" x14ac:dyDescent="0.3">
      <c r="A24" t="s">
        <v>39</v>
      </c>
      <c r="B24" s="5">
        <f>+'FY 2019 2020'!E27</f>
        <v>-1830012.67</v>
      </c>
      <c r="C24" s="5">
        <f>-12123.55-12123.58-17.23-12140.79-12140.75-12140.79-12140.81-12140.75-12243.73-12243.76-12201.38-12206.85-11517.82</f>
        <v>-145381.79</v>
      </c>
      <c r="D24" s="5">
        <f>2380+2392</f>
        <v>4772</v>
      </c>
      <c r="E24" s="5">
        <f t="shared" si="2"/>
        <v>-1970622.46</v>
      </c>
      <c r="F24" s="8" t="s">
        <v>17</v>
      </c>
    </row>
    <row r="25" spans="1:9" x14ac:dyDescent="0.3">
      <c r="A25" t="s">
        <v>40</v>
      </c>
      <c r="B25" s="5">
        <f>+'FY 2019 2020'!E28</f>
        <v>0</v>
      </c>
      <c r="C25" s="5"/>
      <c r="D25" s="5"/>
      <c r="E25" s="5">
        <f t="shared" si="2"/>
        <v>0</v>
      </c>
    </row>
    <row r="26" spans="1:9" x14ac:dyDescent="0.3">
      <c r="B26" s="6">
        <f>SUM(B20:B25)</f>
        <v>-2172924.5299999998</v>
      </c>
      <c r="C26" s="6">
        <f t="shared" ref="C26:E26" si="3">SUM(C20:C25)</f>
        <v>-179922.03000000003</v>
      </c>
      <c r="D26" s="6">
        <f t="shared" si="3"/>
        <v>30554.910000000003</v>
      </c>
      <c r="E26" s="6">
        <f t="shared" si="3"/>
        <v>-2322291.65</v>
      </c>
      <c r="F26" s="8" t="s">
        <v>17</v>
      </c>
    </row>
    <row r="27" spans="1:9" x14ac:dyDescent="0.3">
      <c r="B27" s="5"/>
      <c r="C27" s="5"/>
      <c r="D27" s="5"/>
      <c r="E27" s="5"/>
    </row>
    <row r="28" spans="1:9" x14ac:dyDescent="0.3">
      <c r="B28" s="6">
        <f>+B15+B26</f>
        <v>538192</v>
      </c>
      <c r="C28" s="6">
        <f>+C15+C26</f>
        <v>-159713.64000000001</v>
      </c>
      <c r="D28" s="6">
        <f>+D15+D26</f>
        <v>0</v>
      </c>
      <c r="E28" s="55">
        <f>+E15+E26</f>
        <v>378478.35999999987</v>
      </c>
      <c r="F28" s="54" t="s">
        <v>412</v>
      </c>
    </row>
    <row r="29" spans="1:9" x14ac:dyDescent="0.3">
      <c r="B29" s="5"/>
      <c r="C29" s="5"/>
      <c r="D29" s="5"/>
      <c r="E29" s="5"/>
    </row>
    <row r="30" spans="1:9" x14ac:dyDescent="0.3">
      <c r="A30" t="s">
        <v>409</v>
      </c>
      <c r="B30" s="5">
        <f>+'FY 2019 2020'!E17</f>
        <v>41752.9</v>
      </c>
      <c r="C30" s="5">
        <v>0</v>
      </c>
      <c r="D30" s="5"/>
      <c r="E30" s="5">
        <f>SUM(B30:D30)</f>
        <v>41752.9</v>
      </c>
      <c r="F30" s="8" t="s">
        <v>17</v>
      </c>
    </row>
    <row r="31" spans="1:9" x14ac:dyDescent="0.3">
      <c r="A31" t="s">
        <v>433</v>
      </c>
      <c r="B31" s="5">
        <f>+'FY 2019 2020'!E33</f>
        <v>-1971.3100000000002</v>
      </c>
      <c r="C31" s="5">
        <f>-179.21-179.21-179.21-179.21-179.21-179.21-179.21-179.21-179.21-179.21-179.21-179.21</f>
        <v>-2150.52</v>
      </c>
      <c r="D31" s="5">
        <v>0</v>
      </c>
      <c r="E31" s="5">
        <f>SUM(B31:D31)</f>
        <v>-4121.83</v>
      </c>
      <c r="F31" s="8" t="s">
        <v>17</v>
      </c>
      <c r="G31" t="s">
        <v>410</v>
      </c>
      <c r="H31" s="5">
        <f>(43009.36/20)/12</f>
        <v>179.20566666666664</v>
      </c>
      <c r="I31" t="s">
        <v>411</v>
      </c>
    </row>
    <row r="32" spans="1:9" x14ac:dyDescent="0.3">
      <c r="B32" s="5"/>
      <c r="C32" s="5"/>
      <c r="D32" s="5"/>
      <c r="E32" s="5"/>
    </row>
    <row r="33" spans="1:6" ht="15" thickBot="1" x14ac:dyDescent="0.35">
      <c r="A33" s="7" t="s">
        <v>16</v>
      </c>
      <c r="B33" s="10">
        <f>+B15+B30+B26+B31</f>
        <v>577973.58999999985</v>
      </c>
      <c r="C33" s="10">
        <f>+C15+C30+C26+C31</f>
        <v>-161864.16</v>
      </c>
      <c r="D33" s="10">
        <f>+D15+D30+D26+D31</f>
        <v>0</v>
      </c>
      <c r="E33" s="20">
        <f>+E15+E30+E26+E31</f>
        <v>416109.42999999976</v>
      </c>
      <c r="F33" s="21" t="s">
        <v>17</v>
      </c>
    </row>
    <row r="34" spans="1:6" ht="15" thickTop="1" x14ac:dyDescent="0.3">
      <c r="B34" s="8" t="s">
        <v>43</v>
      </c>
      <c r="E34" s="8"/>
      <c r="F34" s="9"/>
    </row>
    <row r="38" spans="1:6" x14ac:dyDescent="0.3">
      <c r="A38" s="9" t="s">
        <v>224</v>
      </c>
    </row>
    <row r="39" spans="1:6" x14ac:dyDescent="0.3">
      <c r="A39" s="9" t="s">
        <v>18</v>
      </c>
    </row>
  </sheetData>
  <pageMargins left="0.45" right="0.2" top="0.75" bottom="0.75" header="0.3" footer="0.3"/>
  <pageSetup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7"/>
  <sheetViews>
    <sheetView topLeftCell="A88" workbookViewId="0">
      <selection activeCell="H9" sqref="H9"/>
    </sheetView>
  </sheetViews>
  <sheetFormatPr defaultRowHeight="14.4" x14ac:dyDescent="0.3"/>
  <cols>
    <col min="2" max="2" width="12.44140625" customWidth="1"/>
    <col min="3" max="4" width="10.109375" bestFit="1" customWidth="1"/>
    <col min="6" max="6" width="10.5546875" customWidth="1"/>
    <col min="7" max="7" width="9.33203125" bestFit="1" customWidth="1"/>
  </cols>
  <sheetData>
    <row r="1" spans="1:8" x14ac:dyDescent="0.3">
      <c r="A1" s="11" t="str">
        <f>'FY 2024 2025'!$A$1</f>
        <v>AA Inc</v>
      </c>
    </row>
    <row r="2" spans="1:8" x14ac:dyDescent="0.3">
      <c r="A2" t="s">
        <v>225</v>
      </c>
    </row>
    <row r="3" spans="1:8" x14ac:dyDescent="0.3">
      <c r="A3" t="s">
        <v>452</v>
      </c>
    </row>
    <row r="5" spans="1:8" x14ac:dyDescent="0.3">
      <c r="A5" s="48" t="s">
        <v>227</v>
      </c>
      <c r="B5" t="s">
        <v>462</v>
      </c>
      <c r="G5" s="11"/>
    </row>
    <row r="6" spans="1:8" x14ac:dyDescent="0.3">
      <c r="A6" s="48"/>
      <c r="C6" t="s">
        <v>457</v>
      </c>
      <c r="G6" s="56">
        <v>841.98</v>
      </c>
      <c r="H6" s="57" t="s">
        <v>460</v>
      </c>
    </row>
    <row r="7" spans="1:8" x14ac:dyDescent="0.3">
      <c r="A7" s="48"/>
      <c r="C7" t="s">
        <v>459</v>
      </c>
      <c r="G7" s="56">
        <v>-841.98</v>
      </c>
      <c r="H7" s="57" t="s">
        <v>752</v>
      </c>
    </row>
    <row r="8" spans="1:8" x14ac:dyDescent="0.3">
      <c r="A8" s="48"/>
      <c r="C8" t="s">
        <v>751</v>
      </c>
      <c r="G8" s="56"/>
      <c r="H8" s="57" t="s">
        <v>753</v>
      </c>
    </row>
    <row r="9" spans="1:8" x14ac:dyDescent="0.3">
      <c r="G9" s="5"/>
      <c r="H9" s="48"/>
    </row>
    <row r="10" spans="1:8" x14ac:dyDescent="0.3">
      <c r="B10" s="50" t="s">
        <v>461</v>
      </c>
      <c r="C10" s="25"/>
      <c r="D10" s="25"/>
      <c r="E10" s="29"/>
    </row>
    <row r="11" spans="1:8" x14ac:dyDescent="0.3">
      <c r="B11" s="30" t="s">
        <v>104</v>
      </c>
      <c r="C11" s="5">
        <v>23.39</v>
      </c>
      <c r="D11" s="5"/>
      <c r="E11" s="31" t="s">
        <v>116</v>
      </c>
    </row>
    <row r="12" spans="1:8" x14ac:dyDescent="0.3">
      <c r="B12" s="30" t="s">
        <v>274</v>
      </c>
      <c r="C12" s="5"/>
      <c r="D12" s="5">
        <f>+C11</f>
        <v>23.39</v>
      </c>
      <c r="E12" s="31" t="s">
        <v>458</v>
      </c>
    </row>
    <row r="13" spans="1:8" x14ac:dyDescent="0.3">
      <c r="B13" s="32"/>
      <c r="C13" s="33"/>
      <c r="D13" s="33"/>
      <c r="E13" s="34"/>
    </row>
    <row r="15" spans="1:8" x14ac:dyDescent="0.3">
      <c r="A15" s="48" t="s">
        <v>230</v>
      </c>
      <c r="B15" t="s">
        <v>464</v>
      </c>
    </row>
    <row r="17" spans="1:5" x14ac:dyDescent="0.3">
      <c r="B17" s="50" t="s">
        <v>465</v>
      </c>
      <c r="C17" s="25"/>
      <c r="D17" s="25"/>
      <c r="E17" s="29"/>
    </row>
    <row r="18" spans="1:5" x14ac:dyDescent="0.3">
      <c r="B18" s="30" t="s">
        <v>104</v>
      </c>
      <c r="C18" s="5">
        <v>1217.94</v>
      </c>
      <c r="D18" s="5"/>
      <c r="E18" s="31" t="s">
        <v>116</v>
      </c>
    </row>
    <row r="19" spans="1:5" x14ac:dyDescent="0.3">
      <c r="B19" s="30" t="s">
        <v>105</v>
      </c>
      <c r="C19" s="5"/>
      <c r="D19" s="5">
        <f>+C18</f>
        <v>1217.94</v>
      </c>
      <c r="E19" s="31" t="s">
        <v>32</v>
      </c>
    </row>
    <row r="20" spans="1:5" x14ac:dyDescent="0.3">
      <c r="B20" s="32"/>
      <c r="C20" s="33"/>
      <c r="D20" s="33"/>
      <c r="E20" s="34"/>
    </row>
    <row r="22" spans="1:5" x14ac:dyDescent="0.3">
      <c r="A22" s="48" t="s">
        <v>319</v>
      </c>
      <c r="B22" t="s">
        <v>470</v>
      </c>
    </row>
    <row r="24" spans="1:5" x14ac:dyDescent="0.3">
      <c r="B24" s="50" t="s">
        <v>473</v>
      </c>
      <c r="C24" s="25"/>
      <c r="D24" s="25"/>
      <c r="E24" s="29"/>
    </row>
    <row r="25" spans="1:5" x14ac:dyDescent="0.3">
      <c r="B25" s="30" t="s">
        <v>104</v>
      </c>
      <c r="C25" s="5">
        <v>2639.6</v>
      </c>
      <c r="D25" s="5"/>
      <c r="E25" s="31" t="s">
        <v>116</v>
      </c>
    </row>
    <row r="26" spans="1:5" x14ac:dyDescent="0.3">
      <c r="B26" s="30" t="s">
        <v>105</v>
      </c>
      <c r="C26" s="5"/>
      <c r="D26" s="5">
        <f>+C25</f>
        <v>2639.6</v>
      </c>
      <c r="E26" s="31" t="s">
        <v>32</v>
      </c>
    </row>
    <row r="27" spans="1:5" x14ac:dyDescent="0.3">
      <c r="B27" s="32"/>
      <c r="C27" s="33"/>
      <c r="D27" s="33"/>
      <c r="E27" s="34"/>
    </row>
    <row r="29" spans="1:5" x14ac:dyDescent="0.3">
      <c r="A29" s="48" t="s">
        <v>335</v>
      </c>
      <c r="B29" t="s">
        <v>472</v>
      </c>
    </row>
    <row r="31" spans="1:5" x14ac:dyDescent="0.3">
      <c r="B31" s="50" t="s">
        <v>474</v>
      </c>
      <c r="C31" s="25"/>
      <c r="D31" s="25"/>
      <c r="E31" s="29"/>
    </row>
    <row r="32" spans="1:5" x14ac:dyDescent="0.3">
      <c r="B32" s="30" t="s">
        <v>104</v>
      </c>
      <c r="C32" s="5">
        <v>1653.18</v>
      </c>
      <c r="D32" s="5"/>
      <c r="E32" s="31" t="s">
        <v>116</v>
      </c>
    </row>
    <row r="33" spans="1:5" x14ac:dyDescent="0.3">
      <c r="B33" s="30" t="s">
        <v>105</v>
      </c>
      <c r="C33" s="5"/>
      <c r="D33" s="5">
        <f>+C32</f>
        <v>1653.18</v>
      </c>
      <c r="E33" s="31" t="s">
        <v>32</v>
      </c>
    </row>
    <row r="34" spans="1:5" x14ac:dyDescent="0.3">
      <c r="B34" s="32"/>
      <c r="C34" s="33"/>
      <c r="D34" s="33"/>
      <c r="E34" s="34"/>
    </row>
    <row r="36" spans="1:5" x14ac:dyDescent="0.3">
      <c r="A36" s="48" t="s">
        <v>371</v>
      </c>
      <c r="B36" t="s">
        <v>481</v>
      </c>
    </row>
    <row r="38" spans="1:5" x14ac:dyDescent="0.3">
      <c r="B38" s="50" t="s">
        <v>480</v>
      </c>
      <c r="C38" s="25"/>
      <c r="D38" s="25"/>
      <c r="E38" s="29"/>
    </row>
    <row r="39" spans="1:5" x14ac:dyDescent="0.3">
      <c r="B39" s="30" t="s">
        <v>104</v>
      </c>
      <c r="C39" s="5">
        <v>689.06</v>
      </c>
      <c r="D39" s="5"/>
      <c r="E39" s="31" t="s">
        <v>116</v>
      </c>
    </row>
    <row r="40" spans="1:5" x14ac:dyDescent="0.3">
      <c r="B40" s="30" t="s">
        <v>105</v>
      </c>
      <c r="C40" s="5"/>
      <c r="D40" s="5">
        <f>+C39</f>
        <v>689.06</v>
      </c>
      <c r="E40" s="31" t="s">
        <v>32</v>
      </c>
    </row>
    <row r="41" spans="1:5" x14ac:dyDescent="0.3">
      <c r="B41" s="32"/>
      <c r="C41" s="33"/>
      <c r="D41" s="33"/>
      <c r="E41" s="34"/>
    </row>
    <row r="43" spans="1:5" x14ac:dyDescent="0.3">
      <c r="A43" s="48" t="s">
        <v>374</v>
      </c>
      <c r="B43" t="s">
        <v>484</v>
      </c>
    </row>
    <row r="45" spans="1:5" x14ac:dyDescent="0.3">
      <c r="B45" s="50" t="s">
        <v>486</v>
      </c>
      <c r="C45" s="25"/>
      <c r="D45" s="25"/>
      <c r="E45" s="29"/>
    </row>
    <row r="46" spans="1:5" x14ac:dyDescent="0.3">
      <c r="B46" s="30" t="s">
        <v>104</v>
      </c>
      <c r="C46" s="5">
        <v>2380</v>
      </c>
      <c r="D46" s="5"/>
      <c r="E46" s="31" t="s">
        <v>280</v>
      </c>
    </row>
    <row r="47" spans="1:5" x14ac:dyDescent="0.3">
      <c r="B47" s="30" t="s">
        <v>105</v>
      </c>
      <c r="C47" s="5"/>
      <c r="D47" s="5">
        <f>+C46</f>
        <v>2380</v>
      </c>
      <c r="E47" s="31" t="s">
        <v>33</v>
      </c>
    </row>
    <row r="48" spans="1:5" x14ac:dyDescent="0.3">
      <c r="B48" s="32"/>
      <c r="C48" s="33"/>
      <c r="D48" s="33"/>
      <c r="E48" s="34"/>
    </row>
    <row r="50" spans="1:6" x14ac:dyDescent="0.3">
      <c r="A50" s="48" t="s">
        <v>375</v>
      </c>
      <c r="B50" t="s">
        <v>485</v>
      </c>
    </row>
    <row r="52" spans="1:6" x14ac:dyDescent="0.3">
      <c r="B52" s="50" t="s">
        <v>487</v>
      </c>
      <c r="C52" s="25"/>
      <c r="D52" s="25"/>
      <c r="E52" s="29"/>
    </row>
    <row r="53" spans="1:6" x14ac:dyDescent="0.3">
      <c r="B53" s="30" t="s">
        <v>104</v>
      </c>
      <c r="C53" s="5">
        <v>2392</v>
      </c>
      <c r="D53" s="5"/>
      <c r="E53" s="31" t="s">
        <v>280</v>
      </c>
    </row>
    <row r="54" spans="1:6" x14ac:dyDescent="0.3">
      <c r="B54" s="30" t="s">
        <v>105</v>
      </c>
      <c r="C54" s="5"/>
      <c r="D54" s="5">
        <f>+C53</f>
        <v>2392</v>
      </c>
      <c r="E54" s="31" t="s">
        <v>33</v>
      </c>
    </row>
    <row r="55" spans="1:6" x14ac:dyDescent="0.3">
      <c r="B55" s="32"/>
      <c r="C55" s="33"/>
      <c r="D55" s="33"/>
      <c r="E55" s="34"/>
    </row>
    <row r="57" spans="1:6" x14ac:dyDescent="0.3">
      <c r="A57" s="48" t="s">
        <v>488</v>
      </c>
      <c r="B57" s="59" t="s">
        <v>490</v>
      </c>
      <c r="C57" s="11"/>
    </row>
    <row r="58" spans="1:6" x14ac:dyDescent="0.3">
      <c r="B58" t="s">
        <v>489</v>
      </c>
      <c r="C58" s="11">
        <v>85</v>
      </c>
      <c r="D58" s="11">
        <v>184</v>
      </c>
      <c r="E58" s="11">
        <v>308</v>
      </c>
      <c r="F58" s="11">
        <v>165</v>
      </c>
    </row>
    <row r="59" spans="1:6" x14ac:dyDescent="0.3">
      <c r="C59" s="11">
        <v>120</v>
      </c>
      <c r="D59" s="11">
        <v>192</v>
      </c>
      <c r="E59" s="11">
        <v>309</v>
      </c>
    </row>
    <row r="60" spans="1:6" x14ac:dyDescent="0.3">
      <c r="C60" s="11">
        <v>162</v>
      </c>
      <c r="D60" s="11">
        <v>193</v>
      </c>
      <c r="E60" s="11">
        <v>311</v>
      </c>
    </row>
    <row r="62" spans="1:6" x14ac:dyDescent="0.3">
      <c r="B62" s="50" t="s">
        <v>499</v>
      </c>
      <c r="C62" s="25"/>
      <c r="D62" s="25"/>
      <c r="E62" s="29"/>
    </row>
    <row r="63" spans="1:6" x14ac:dyDescent="0.3">
      <c r="B63" s="30" t="s">
        <v>104</v>
      </c>
      <c r="C63" s="5">
        <f>+D64</f>
        <v>15030.619999999999</v>
      </c>
      <c r="D63" s="5"/>
      <c r="E63" s="31" t="s">
        <v>116</v>
      </c>
    </row>
    <row r="64" spans="1:6" x14ac:dyDescent="0.3">
      <c r="B64" s="30" t="s">
        <v>105</v>
      </c>
      <c r="C64" s="5"/>
      <c r="D64" s="5">
        <f>1424.09+2822.43+1705.7+802.2+1868.94+670.79+1528.53+1528.53+1538.65+1140.76</f>
        <v>15030.619999999999</v>
      </c>
      <c r="E64" s="31" t="s">
        <v>32</v>
      </c>
    </row>
    <row r="65" spans="1:5" x14ac:dyDescent="0.3">
      <c r="B65" s="32"/>
      <c r="C65" s="33"/>
      <c r="D65" s="33"/>
      <c r="E65" s="34"/>
    </row>
    <row r="67" spans="1:5" x14ac:dyDescent="0.3">
      <c r="A67" s="48" t="s">
        <v>491</v>
      </c>
      <c r="B67" s="59" t="s">
        <v>492</v>
      </c>
      <c r="C67" s="11"/>
    </row>
    <row r="68" spans="1:5" x14ac:dyDescent="0.3">
      <c r="A68" s="48"/>
      <c r="B68" s="59" t="s">
        <v>493</v>
      </c>
      <c r="C68" s="11"/>
    </row>
    <row r="69" spans="1:5" x14ac:dyDescent="0.3">
      <c r="A69" s="48"/>
      <c r="B69" s="59" t="s">
        <v>494</v>
      </c>
      <c r="C69" s="11"/>
    </row>
    <row r="70" spans="1:5" x14ac:dyDescent="0.3">
      <c r="A70" s="48"/>
      <c r="B70" s="59" t="s">
        <v>495</v>
      </c>
      <c r="C70" s="11"/>
    </row>
    <row r="71" spans="1:5" x14ac:dyDescent="0.3">
      <c r="A71" s="48"/>
      <c r="B71" s="59"/>
      <c r="C71" s="11" t="s">
        <v>496</v>
      </c>
    </row>
    <row r="72" spans="1:5" x14ac:dyDescent="0.3">
      <c r="A72" s="48"/>
      <c r="B72" s="59"/>
      <c r="C72" s="11" t="s">
        <v>497</v>
      </c>
    </row>
    <row r="73" spans="1:5" x14ac:dyDescent="0.3">
      <c r="A73" s="48"/>
      <c r="B73" s="59"/>
      <c r="C73" s="11" t="s">
        <v>498</v>
      </c>
    </row>
    <row r="74" spans="1:5" x14ac:dyDescent="0.3">
      <c r="A74" s="48"/>
      <c r="B74" s="59"/>
      <c r="C74" s="11"/>
    </row>
    <row r="75" spans="1:5" x14ac:dyDescent="0.3">
      <c r="B75" s="50" t="s">
        <v>500</v>
      </c>
      <c r="C75" s="25"/>
      <c r="D75" s="25"/>
      <c r="E75" s="29"/>
    </row>
    <row r="76" spans="1:5" x14ac:dyDescent="0.3">
      <c r="B76" s="30" t="s">
        <v>104</v>
      </c>
      <c r="C76" s="5">
        <v>1730.08</v>
      </c>
      <c r="D76" s="5"/>
      <c r="E76" s="31" t="s">
        <v>116</v>
      </c>
    </row>
    <row r="77" spans="1:5" x14ac:dyDescent="0.3">
      <c r="B77" s="30" t="s">
        <v>105</v>
      </c>
      <c r="C77" s="5"/>
      <c r="D77" s="5">
        <v>1730.08</v>
      </c>
      <c r="E77" s="31" t="s">
        <v>32</v>
      </c>
    </row>
    <row r="78" spans="1:5" x14ac:dyDescent="0.3">
      <c r="B78" s="32"/>
      <c r="C78" s="33"/>
      <c r="D78" s="33"/>
      <c r="E78" s="34"/>
    </row>
    <row r="80" spans="1:5" x14ac:dyDescent="0.3">
      <c r="A80" s="48" t="s">
        <v>501</v>
      </c>
      <c r="B80" t="s">
        <v>502</v>
      </c>
    </row>
    <row r="81" spans="2:5" x14ac:dyDescent="0.3">
      <c r="B81" s="57" t="s">
        <v>503</v>
      </c>
      <c r="C81" s="57"/>
      <c r="D81" s="57"/>
      <c r="E81" s="57"/>
    </row>
    <row r="83" spans="2:5" x14ac:dyDescent="0.3">
      <c r="B83" t="s">
        <v>504</v>
      </c>
      <c r="C83" t="s">
        <v>505</v>
      </c>
    </row>
    <row r="84" spans="2:5" x14ac:dyDescent="0.3">
      <c r="B84" t="s">
        <v>506</v>
      </c>
      <c r="C84" t="s">
        <v>505</v>
      </c>
    </row>
    <row r="85" spans="2:5" x14ac:dyDescent="0.3">
      <c r="B85" t="s">
        <v>507</v>
      </c>
      <c r="C85" t="s">
        <v>505</v>
      </c>
    </row>
    <row r="86" spans="2:5" x14ac:dyDescent="0.3">
      <c r="B86" t="s">
        <v>508</v>
      </c>
      <c r="C86" t="s">
        <v>505</v>
      </c>
    </row>
    <row r="87" spans="2:5" x14ac:dyDescent="0.3">
      <c r="B87" t="s">
        <v>509</v>
      </c>
      <c r="C87" t="s">
        <v>505</v>
      </c>
    </row>
    <row r="88" spans="2:5" x14ac:dyDescent="0.3">
      <c r="B88" t="s">
        <v>510</v>
      </c>
      <c r="C88" t="s">
        <v>505</v>
      </c>
    </row>
    <row r="89" spans="2:5" x14ac:dyDescent="0.3">
      <c r="B89" t="s">
        <v>511</v>
      </c>
      <c r="C89" t="s">
        <v>512</v>
      </c>
    </row>
    <row r="90" spans="2:5" x14ac:dyDescent="0.3">
      <c r="B90" t="s">
        <v>513</v>
      </c>
      <c r="C90" t="s">
        <v>516</v>
      </c>
    </row>
    <row r="91" spans="2:5" x14ac:dyDescent="0.3">
      <c r="B91" t="s">
        <v>514</v>
      </c>
      <c r="C91" t="s">
        <v>517</v>
      </c>
    </row>
    <row r="92" spans="2:5" x14ac:dyDescent="0.3">
      <c r="B92" t="s">
        <v>515</v>
      </c>
      <c r="C92" t="s">
        <v>519</v>
      </c>
    </row>
    <row r="93" spans="2:5" x14ac:dyDescent="0.3">
      <c r="B93" t="s">
        <v>518</v>
      </c>
      <c r="C93" t="s">
        <v>520</v>
      </c>
    </row>
    <row r="94" spans="2:5" x14ac:dyDescent="0.3">
      <c r="B94" t="s">
        <v>521</v>
      </c>
      <c r="C94" t="s">
        <v>522</v>
      </c>
    </row>
    <row r="95" spans="2:5" x14ac:dyDescent="0.3">
      <c r="B95" t="s">
        <v>523</v>
      </c>
      <c r="C95" t="s">
        <v>522</v>
      </c>
    </row>
    <row r="96" spans="2:5" x14ac:dyDescent="0.3">
      <c r="B96" t="s">
        <v>524</v>
      </c>
      <c r="C96" t="s">
        <v>525</v>
      </c>
    </row>
    <row r="97" spans="1:5" x14ac:dyDescent="0.3">
      <c r="B97" t="s">
        <v>526</v>
      </c>
      <c r="C97" t="s">
        <v>527</v>
      </c>
    </row>
    <row r="98" spans="1:5" x14ac:dyDescent="0.3">
      <c r="B98" t="s">
        <v>528</v>
      </c>
      <c r="C98" t="s">
        <v>527</v>
      </c>
    </row>
    <row r="99" spans="1:5" x14ac:dyDescent="0.3">
      <c r="B99" t="s">
        <v>529</v>
      </c>
      <c r="C99" t="s">
        <v>530</v>
      </c>
    </row>
    <row r="100" spans="1:5" x14ac:dyDescent="0.3">
      <c r="B100" t="s">
        <v>531</v>
      </c>
      <c r="C100" t="s">
        <v>532</v>
      </c>
    </row>
    <row r="102" spans="1:5" x14ac:dyDescent="0.3">
      <c r="A102" s="48" t="s">
        <v>533</v>
      </c>
      <c r="B102" s="59" t="s">
        <v>534</v>
      </c>
      <c r="C102" s="11"/>
    </row>
    <row r="103" spans="1:5" x14ac:dyDescent="0.3">
      <c r="A103" s="48"/>
      <c r="B103" s="59"/>
      <c r="C103" s="11"/>
    </row>
    <row r="104" spans="1:5" x14ac:dyDescent="0.3">
      <c r="B104" s="50" t="s">
        <v>536</v>
      </c>
      <c r="C104" s="25"/>
      <c r="D104" s="25"/>
      <c r="E104" s="29"/>
    </row>
    <row r="105" spans="1:5" x14ac:dyDescent="0.3">
      <c r="B105" s="30" t="s">
        <v>104</v>
      </c>
      <c r="C105" s="5">
        <v>2822.43</v>
      </c>
      <c r="D105" s="5"/>
      <c r="E105" s="31" t="s">
        <v>116</v>
      </c>
    </row>
    <row r="106" spans="1:5" x14ac:dyDescent="0.3">
      <c r="B106" s="30" t="s">
        <v>105</v>
      </c>
      <c r="C106" s="5"/>
      <c r="D106" s="5">
        <v>2822.43</v>
      </c>
      <c r="E106" s="31" t="s">
        <v>32</v>
      </c>
    </row>
    <row r="107" spans="1:5" x14ac:dyDescent="0.3">
      <c r="B107" s="32"/>
      <c r="C107" s="33"/>
      <c r="D107" s="33"/>
      <c r="E107" s="3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topLeftCell="A19" workbookViewId="0"/>
  </sheetViews>
  <sheetFormatPr defaultRowHeight="14.4" x14ac:dyDescent="0.3"/>
  <cols>
    <col min="1" max="1" width="28.10937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  <col min="7" max="7" width="10.6640625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408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43556</v>
      </c>
      <c r="C6" s="4" t="s">
        <v>10</v>
      </c>
      <c r="D6" s="4" t="s">
        <v>11</v>
      </c>
      <c r="E6" s="24">
        <v>43921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v>258764.63</v>
      </c>
      <c r="C8" s="5">
        <f>+'Office &amp; Computer Equip'!F86</f>
        <v>39434.630000000005</v>
      </c>
      <c r="D8" s="5">
        <f>-1565.78-1754.3-715.7</f>
        <v>-4035.7799999999997</v>
      </c>
      <c r="E8" s="5">
        <f>SUM(B8:D8)</f>
        <v>294163.48</v>
      </c>
      <c r="F8" s="8" t="s">
        <v>17</v>
      </c>
    </row>
    <row r="9" spans="1:6" x14ac:dyDescent="0.3">
      <c r="A9" t="s">
        <v>282</v>
      </c>
      <c r="B9" s="5">
        <v>175507.49</v>
      </c>
      <c r="C9" s="5"/>
      <c r="D9" s="5">
        <v>-7522.53</v>
      </c>
      <c r="E9" s="5">
        <f t="shared" ref="E9:E14" si="0">SUM(B9:D9)</f>
        <v>167984.96</v>
      </c>
      <c r="F9" s="8" t="s">
        <v>17</v>
      </c>
    </row>
    <row r="10" spans="1:6" x14ac:dyDescent="0.3">
      <c r="A10" t="s">
        <v>3</v>
      </c>
      <c r="B10" s="5"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v>0</v>
      </c>
      <c r="C11" s="5"/>
      <c r="D11" s="5"/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v>2246394.64</v>
      </c>
      <c r="C12" s="5">
        <f>+'Plant Equip'!F65</f>
        <v>18303.32</v>
      </c>
      <c r="D12" s="5">
        <f>-2702.37-2702.37-2669.92-7655.21</f>
        <v>-15729.869999999999</v>
      </c>
      <c r="E12" s="5">
        <f t="shared" si="0"/>
        <v>2248968.09</v>
      </c>
      <c r="F12" s="8" t="s">
        <v>17</v>
      </c>
    </row>
    <row r="13" spans="1:6" x14ac:dyDescent="0.3">
      <c r="A13" t="s">
        <v>6</v>
      </c>
      <c r="B13" s="5"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2680666.7600000002</v>
      </c>
      <c r="C15" s="6">
        <f t="shared" ref="C15:E15" si="1">SUM(C8:C14)</f>
        <v>57737.950000000004</v>
      </c>
      <c r="D15" s="6">
        <f t="shared" si="1"/>
        <v>-27288.18</v>
      </c>
      <c r="E15" s="55">
        <f t="shared" si="1"/>
        <v>2711116.53</v>
      </c>
      <c r="F15" s="54" t="s">
        <v>412</v>
      </c>
    </row>
    <row r="16" spans="1:6" x14ac:dyDescent="0.3">
      <c r="B16" s="5"/>
      <c r="C16" s="5"/>
      <c r="D16" s="5"/>
      <c r="E16" s="5"/>
    </row>
    <row r="17" spans="1:6" x14ac:dyDescent="0.3">
      <c r="A17" t="s">
        <v>409</v>
      </c>
      <c r="B17" s="5">
        <v>0</v>
      </c>
      <c r="C17" s="5">
        <f>43009.36-1256.46</f>
        <v>41752.9</v>
      </c>
      <c r="D17" s="5"/>
      <c r="E17" s="5">
        <f>SUM(B17:D17)</f>
        <v>41752.9</v>
      </c>
      <c r="F17" s="8" t="s">
        <v>17</v>
      </c>
    </row>
    <row r="18" spans="1:6" x14ac:dyDescent="0.3">
      <c r="B18" s="5"/>
      <c r="C18" s="5"/>
      <c r="D18" s="5"/>
      <c r="E18" s="5"/>
    </row>
    <row r="20" spans="1:6" x14ac:dyDescent="0.3">
      <c r="B20" s="1" t="s">
        <v>8</v>
      </c>
      <c r="E20" s="1" t="s">
        <v>12</v>
      </c>
    </row>
    <row r="21" spans="1:6" x14ac:dyDescent="0.3">
      <c r="A21" t="s">
        <v>15</v>
      </c>
      <c r="B21" s="3" t="s">
        <v>407</v>
      </c>
      <c r="C21" s="4" t="s">
        <v>10</v>
      </c>
      <c r="D21" s="4" t="s">
        <v>11</v>
      </c>
      <c r="E21" s="24">
        <v>43921</v>
      </c>
    </row>
    <row r="22" spans="1:6" x14ac:dyDescent="0.3">
      <c r="B22" s="2"/>
      <c r="C22" s="1"/>
      <c r="D22" s="1"/>
      <c r="E22" s="2"/>
    </row>
    <row r="23" spans="1:6" x14ac:dyDescent="0.3">
      <c r="A23" t="s">
        <v>36</v>
      </c>
      <c r="B23" s="5">
        <v>-240736.36000000002</v>
      </c>
      <c r="C23" s="5">
        <f>-960.21-120.91-960.19-120.89-960.2-120.91-890.11-120.9-1018.07-120.91-938.69-120.9-938.65-132.25-1027.52-132.26-1027.55-132.27-978.78-272.03-990.47-272.05-916.59-568.97</f>
        <v>-13842.279999999999</v>
      </c>
      <c r="D23" s="5">
        <f>1565.78+633.5+715.7</f>
        <v>2914.9799999999996</v>
      </c>
      <c r="E23" s="5">
        <f>SUM(B23:D23)</f>
        <v>-251663.66</v>
      </c>
      <c r="F23" s="8" t="s">
        <v>17</v>
      </c>
    </row>
    <row r="24" spans="1:6" x14ac:dyDescent="0.3">
      <c r="A24" t="s">
        <v>37</v>
      </c>
      <c r="B24" s="5">
        <v>-82878.880000000005</v>
      </c>
      <c r="C24" s="5">
        <f>-1328.91-1328.89-1294.67-1294.67-1294.7-1294.65-1294.64-1294.68-1271.66-1271.64-1271.63-1254.4</f>
        <v>-15495.139999999998</v>
      </c>
      <c r="D24" s="5">
        <v>7125.82</v>
      </c>
      <c r="E24" s="5">
        <f t="shared" ref="E24:E28" si="2">SUM(B24:D24)</f>
        <v>-91248.200000000012</v>
      </c>
      <c r="F24" s="8" t="s">
        <v>17</v>
      </c>
    </row>
    <row r="25" spans="1:6" x14ac:dyDescent="0.3">
      <c r="A25" t="s">
        <v>3</v>
      </c>
      <c r="B25" s="5">
        <v>0</v>
      </c>
      <c r="C25" s="5"/>
      <c r="D25" s="5"/>
      <c r="E25" s="5">
        <f t="shared" si="2"/>
        <v>0</v>
      </c>
    </row>
    <row r="26" spans="1:6" x14ac:dyDescent="0.3">
      <c r="A26" t="s">
        <v>38</v>
      </c>
      <c r="B26" s="5">
        <v>0</v>
      </c>
      <c r="D26" s="5"/>
      <c r="E26" s="5">
        <f t="shared" si="2"/>
        <v>0</v>
      </c>
      <c r="F26" s="8" t="s">
        <v>17</v>
      </c>
    </row>
    <row r="27" spans="1:6" x14ac:dyDescent="0.3">
      <c r="A27" t="s">
        <v>39</v>
      </c>
      <c r="B27" s="5">
        <v>-1697874.98</v>
      </c>
      <c r="C27" s="5">
        <f>-13403.11-13403.07-12059.8-12059.72-12059.79-12059.75-66.24-12126.02-12126.01-12126.05-12125.95-12126.08-12125.97</f>
        <v>-147867.56</v>
      </c>
      <c r="D27" s="5">
        <f>8074.66+7655.21</f>
        <v>15729.869999999999</v>
      </c>
      <c r="E27" s="5">
        <f t="shared" si="2"/>
        <v>-1830012.67</v>
      </c>
      <c r="F27" s="8" t="s">
        <v>17</v>
      </c>
    </row>
    <row r="28" spans="1:6" x14ac:dyDescent="0.3">
      <c r="A28" t="s">
        <v>40</v>
      </c>
      <c r="B28" s="5">
        <v>0</v>
      </c>
      <c r="C28" s="5"/>
      <c r="D28" s="5"/>
      <c r="E28" s="5">
        <f t="shared" si="2"/>
        <v>0</v>
      </c>
    </row>
    <row r="29" spans="1:6" x14ac:dyDescent="0.3">
      <c r="B29" s="6">
        <f>SUM(B23:B28)</f>
        <v>-2021490.22</v>
      </c>
      <c r="C29" s="6">
        <f t="shared" ref="C29:E29" si="3">SUM(C23:C28)</f>
        <v>-177204.97999999998</v>
      </c>
      <c r="D29" s="6">
        <f t="shared" si="3"/>
        <v>25770.67</v>
      </c>
      <c r="E29" s="6">
        <f t="shared" si="3"/>
        <v>-2172924.5299999998</v>
      </c>
      <c r="F29" s="8" t="s">
        <v>17</v>
      </c>
    </row>
    <row r="30" spans="1:6" x14ac:dyDescent="0.3">
      <c r="B30" s="5"/>
      <c r="C30" s="5"/>
      <c r="D30" s="5"/>
      <c r="E30" s="5"/>
    </row>
    <row r="31" spans="1:6" x14ac:dyDescent="0.3">
      <c r="B31" s="6">
        <f>+B15+B29</f>
        <v>659176.54000000027</v>
      </c>
      <c r="C31" s="6">
        <f>+C15+C29</f>
        <v>-119467.02999999997</v>
      </c>
      <c r="D31" s="6">
        <f>+D15+D29</f>
        <v>-1517.510000000002</v>
      </c>
      <c r="E31" s="55">
        <f>+E15+E29</f>
        <v>538192</v>
      </c>
      <c r="F31" s="54" t="s">
        <v>412</v>
      </c>
    </row>
    <row r="32" spans="1:6" x14ac:dyDescent="0.3">
      <c r="B32" s="5"/>
      <c r="C32" s="5"/>
      <c r="D32" s="5"/>
      <c r="E32" s="5"/>
    </row>
    <row r="33" spans="1:9" x14ac:dyDescent="0.3">
      <c r="A33" t="s">
        <v>433</v>
      </c>
      <c r="B33" s="6">
        <v>0</v>
      </c>
      <c r="C33" s="6">
        <f>-179.21-179.21-179.21-179.21-179.21-179.21-179.21-179.21-179.21-179.21-179.21</f>
        <v>-1971.3100000000002</v>
      </c>
      <c r="D33" s="6">
        <v>0</v>
      </c>
      <c r="E33" s="6">
        <f>SUM(B33:D33)</f>
        <v>-1971.3100000000002</v>
      </c>
      <c r="F33" s="8" t="s">
        <v>17</v>
      </c>
      <c r="G33" t="s">
        <v>410</v>
      </c>
      <c r="H33" s="5">
        <f>(43009.36/20)/12</f>
        <v>179.20566666666664</v>
      </c>
      <c r="I33" t="s">
        <v>411</v>
      </c>
    </row>
    <row r="34" spans="1:9" x14ac:dyDescent="0.3">
      <c r="B34" s="5"/>
      <c r="C34" s="5"/>
      <c r="D34" s="5"/>
      <c r="E34" s="5"/>
    </row>
    <row r="35" spans="1:9" ht="15" thickBot="1" x14ac:dyDescent="0.35">
      <c r="A35" s="7" t="s">
        <v>16</v>
      </c>
      <c r="B35" s="10">
        <f>+B15+B17+B29+B33</f>
        <v>659176.54000000027</v>
      </c>
      <c r="C35" s="10">
        <f>+C15+C17+C29+C33</f>
        <v>-79685.439999999973</v>
      </c>
      <c r="D35" s="10">
        <f>+D15+D17+D29+D33</f>
        <v>-1517.510000000002</v>
      </c>
      <c r="E35" s="20">
        <f>+E15+E17+E29+E33</f>
        <v>577973.58999999985</v>
      </c>
      <c r="F35" s="21" t="s">
        <v>17</v>
      </c>
    </row>
    <row r="36" spans="1:9" ht="15" thickTop="1" x14ac:dyDescent="0.3">
      <c r="B36" s="8" t="s">
        <v>43</v>
      </c>
      <c r="E36" s="8"/>
      <c r="F36" s="9"/>
    </row>
    <row r="40" spans="1:9" x14ac:dyDescent="0.3">
      <c r="A40" s="9" t="s">
        <v>224</v>
      </c>
    </row>
    <row r="41" spans="1:9" x14ac:dyDescent="0.3">
      <c r="A41" s="9" t="s">
        <v>18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9"/>
  <sheetViews>
    <sheetView topLeftCell="A28" workbookViewId="0"/>
  </sheetViews>
  <sheetFormatPr defaultRowHeight="14.4" x14ac:dyDescent="0.3"/>
  <cols>
    <col min="3" max="3" width="11.109375" customWidth="1"/>
    <col min="4" max="4" width="12" customWidth="1"/>
    <col min="5" max="5" width="11.33203125" customWidth="1"/>
  </cols>
  <sheetData>
    <row r="1" spans="1:8" x14ac:dyDescent="0.3">
      <c r="A1" s="11" t="str">
        <f>'FY 2024 2025'!$A$1</f>
        <v>AA Inc</v>
      </c>
    </row>
    <row r="2" spans="1:8" x14ac:dyDescent="0.3">
      <c r="A2" t="s">
        <v>225</v>
      </c>
    </row>
    <row r="3" spans="1:8" x14ac:dyDescent="0.3">
      <c r="A3" t="s">
        <v>420</v>
      </c>
    </row>
    <row r="5" spans="1:8" x14ac:dyDescent="0.3">
      <c r="A5" s="48" t="s">
        <v>227</v>
      </c>
      <c r="B5" t="s">
        <v>421</v>
      </c>
      <c r="G5" s="11"/>
    </row>
    <row r="6" spans="1:8" x14ac:dyDescent="0.3">
      <c r="G6" s="5"/>
      <c r="H6" s="48"/>
    </row>
    <row r="7" spans="1:8" x14ac:dyDescent="0.3">
      <c r="B7" s="50" t="s">
        <v>430</v>
      </c>
      <c r="C7" s="25"/>
      <c r="D7" s="25"/>
      <c r="E7" s="29"/>
    </row>
    <row r="8" spans="1:8" x14ac:dyDescent="0.3">
      <c r="B8" s="30" t="s">
        <v>104</v>
      </c>
      <c r="C8" s="5">
        <v>1565.78</v>
      </c>
      <c r="D8" s="5"/>
      <c r="E8" s="31" t="s">
        <v>116</v>
      </c>
    </row>
    <row r="9" spans="1:8" x14ac:dyDescent="0.3">
      <c r="B9" s="30" t="s">
        <v>105</v>
      </c>
      <c r="C9" s="5"/>
      <c r="D9" s="5">
        <v>1565.78</v>
      </c>
      <c r="E9" s="31" t="s">
        <v>32</v>
      </c>
    </row>
    <row r="10" spans="1:8" x14ac:dyDescent="0.3">
      <c r="B10" s="32"/>
      <c r="C10" s="33"/>
      <c r="D10" s="33"/>
      <c r="E10" s="34"/>
    </row>
    <row r="12" spans="1:8" x14ac:dyDescent="0.3">
      <c r="A12" s="48" t="s">
        <v>230</v>
      </c>
      <c r="B12" t="s">
        <v>438</v>
      </c>
      <c r="G12" s="11"/>
    </row>
    <row r="13" spans="1:8" x14ac:dyDescent="0.3">
      <c r="C13" s="47" t="s">
        <v>431</v>
      </c>
      <c r="G13" s="5"/>
      <c r="H13" s="48"/>
    </row>
    <row r="14" spans="1:8" x14ac:dyDescent="0.3">
      <c r="B14" s="50" t="s">
        <v>432</v>
      </c>
      <c r="C14" s="25"/>
      <c r="D14" s="25"/>
      <c r="E14" s="29"/>
    </row>
    <row r="15" spans="1:8" x14ac:dyDescent="0.3">
      <c r="B15" s="30" t="s">
        <v>104</v>
      </c>
      <c r="C15" s="5">
        <v>633.5</v>
      </c>
      <c r="D15" s="5"/>
      <c r="E15" s="31" t="s">
        <v>116</v>
      </c>
    </row>
    <row r="16" spans="1:8" x14ac:dyDescent="0.3">
      <c r="B16" s="30" t="s">
        <v>357</v>
      </c>
      <c r="C16" s="5">
        <f>+D17-C15</f>
        <v>1120.8</v>
      </c>
      <c r="D16" s="5"/>
      <c r="E16" s="31" t="s">
        <v>117</v>
      </c>
    </row>
    <row r="17" spans="1:8" x14ac:dyDescent="0.3">
      <c r="B17" s="30" t="s">
        <v>105</v>
      </c>
      <c r="C17" s="5"/>
      <c r="D17" s="5">
        <v>1754.3</v>
      </c>
      <c r="E17" s="31" t="s">
        <v>32</v>
      </c>
    </row>
    <row r="18" spans="1:8" x14ac:dyDescent="0.3">
      <c r="B18" s="32"/>
      <c r="C18" s="33"/>
      <c r="D18" s="33"/>
      <c r="E18" s="34"/>
    </row>
    <row r="20" spans="1:8" x14ac:dyDescent="0.3">
      <c r="A20" s="48" t="s">
        <v>319</v>
      </c>
      <c r="B20" t="s">
        <v>435</v>
      </c>
      <c r="G20" s="11"/>
    </row>
    <row r="21" spans="1:8" x14ac:dyDescent="0.3">
      <c r="C21" s="47"/>
      <c r="G21" s="5"/>
      <c r="H21" s="48"/>
    </row>
    <row r="22" spans="1:8" x14ac:dyDescent="0.3">
      <c r="B22" s="50" t="s">
        <v>434</v>
      </c>
      <c r="C22" s="25"/>
      <c r="D22" s="25"/>
      <c r="E22" s="29"/>
    </row>
    <row r="23" spans="1:8" x14ac:dyDescent="0.3">
      <c r="B23" s="30" t="s">
        <v>104</v>
      </c>
      <c r="C23" s="5">
        <f>2702.37+2702.37+2669.92</f>
        <v>8074.66</v>
      </c>
      <c r="D23" s="5"/>
      <c r="E23" s="31" t="s">
        <v>280</v>
      </c>
    </row>
    <row r="24" spans="1:8" x14ac:dyDescent="0.3">
      <c r="B24" s="30" t="s">
        <v>105</v>
      </c>
      <c r="C24" s="5"/>
      <c r="D24" s="5">
        <f>2702.37+2702.37+2669.92</f>
        <v>8074.66</v>
      </c>
      <c r="E24" s="31" t="s">
        <v>33</v>
      </c>
    </row>
    <row r="25" spans="1:8" x14ac:dyDescent="0.3">
      <c r="B25" s="32"/>
      <c r="C25" s="33"/>
      <c r="D25" s="33"/>
      <c r="E25" s="34"/>
    </row>
    <row r="27" spans="1:8" x14ac:dyDescent="0.3">
      <c r="A27" s="48" t="s">
        <v>335</v>
      </c>
      <c r="B27" t="s">
        <v>442</v>
      </c>
    </row>
    <row r="28" spans="1:8" x14ac:dyDescent="0.3">
      <c r="A28" s="48"/>
      <c r="C28" t="s">
        <v>451</v>
      </c>
    </row>
    <row r="30" spans="1:8" x14ac:dyDescent="0.3">
      <c r="B30" s="50" t="s">
        <v>455</v>
      </c>
      <c r="C30" s="25"/>
      <c r="D30" s="25"/>
      <c r="E30" s="29"/>
    </row>
    <row r="31" spans="1:8" x14ac:dyDescent="0.3">
      <c r="B31" s="30" t="s">
        <v>104</v>
      </c>
      <c r="C31" s="5">
        <f>+D33+1672.93</f>
        <v>7125.8200000000006</v>
      </c>
      <c r="D31" s="5"/>
      <c r="E31" s="31" t="s">
        <v>327</v>
      </c>
    </row>
    <row r="32" spans="1:8" x14ac:dyDescent="0.3">
      <c r="B32" s="30" t="s">
        <v>357</v>
      </c>
      <c r="C32" s="5">
        <f>+D33+D34-C31</f>
        <v>396.71000000000004</v>
      </c>
      <c r="D32" s="5"/>
      <c r="E32" s="31"/>
    </row>
    <row r="33" spans="1:8" x14ac:dyDescent="0.3">
      <c r="B33" s="30" t="s">
        <v>443</v>
      </c>
      <c r="C33" s="5"/>
      <c r="D33" s="5">
        <v>5452.89</v>
      </c>
      <c r="E33" s="31" t="s">
        <v>34</v>
      </c>
    </row>
    <row r="34" spans="1:8" x14ac:dyDescent="0.3">
      <c r="B34" s="30" t="s">
        <v>449</v>
      </c>
      <c r="C34" s="5"/>
      <c r="D34" s="5">
        <v>2069.64</v>
      </c>
      <c r="E34" s="31" t="s">
        <v>34</v>
      </c>
    </row>
    <row r="35" spans="1:8" x14ac:dyDescent="0.3">
      <c r="B35" s="30"/>
      <c r="C35" s="5"/>
      <c r="D35" s="5"/>
      <c r="E35" s="31"/>
    </row>
    <row r="36" spans="1:8" x14ac:dyDescent="0.3">
      <c r="B36" s="30" t="s">
        <v>104</v>
      </c>
      <c r="C36" s="5">
        <f>1009.7+836.14+1376+701+2669.92+1062.45</f>
        <v>7655.21</v>
      </c>
      <c r="D36" s="5"/>
      <c r="E36" s="31" t="s">
        <v>280</v>
      </c>
    </row>
    <row r="37" spans="1:8" x14ac:dyDescent="0.3">
      <c r="B37" s="30" t="s">
        <v>444</v>
      </c>
      <c r="C37" s="5"/>
      <c r="D37" s="5">
        <v>1009.7</v>
      </c>
      <c r="E37" s="31" t="s">
        <v>33</v>
      </c>
    </row>
    <row r="38" spans="1:8" x14ac:dyDescent="0.3">
      <c r="B38" s="30" t="s">
        <v>445</v>
      </c>
      <c r="C38" s="5"/>
      <c r="D38" s="5">
        <v>836.14</v>
      </c>
      <c r="E38" s="31" t="s">
        <v>33</v>
      </c>
    </row>
    <row r="39" spans="1:8" x14ac:dyDescent="0.3">
      <c r="B39" s="30" t="s">
        <v>446</v>
      </c>
      <c r="C39" s="5"/>
      <c r="D39" s="5">
        <v>1376</v>
      </c>
      <c r="E39" s="31" t="s">
        <v>33</v>
      </c>
    </row>
    <row r="40" spans="1:8" x14ac:dyDescent="0.3">
      <c r="B40" s="30" t="s">
        <v>450</v>
      </c>
      <c r="C40" s="5"/>
      <c r="D40" s="5">
        <v>701</v>
      </c>
      <c r="E40" s="31" t="s">
        <v>33</v>
      </c>
    </row>
    <row r="41" spans="1:8" x14ac:dyDescent="0.3">
      <c r="B41" s="30" t="s">
        <v>447</v>
      </c>
      <c r="C41" s="5"/>
      <c r="D41" s="5">
        <v>2669.92</v>
      </c>
      <c r="E41" s="31" t="s">
        <v>33</v>
      </c>
    </row>
    <row r="42" spans="1:8" x14ac:dyDescent="0.3">
      <c r="B42" s="32" t="s">
        <v>448</v>
      </c>
      <c r="C42" s="33"/>
      <c r="D42" s="33">
        <v>1062.45</v>
      </c>
      <c r="E42" s="34" t="s">
        <v>33</v>
      </c>
    </row>
    <row r="44" spans="1:8" x14ac:dyDescent="0.3">
      <c r="A44" s="48" t="s">
        <v>371</v>
      </c>
      <c r="B44" t="s">
        <v>453</v>
      </c>
      <c r="G44" s="11"/>
    </row>
    <row r="45" spans="1:8" x14ac:dyDescent="0.3">
      <c r="G45" s="5"/>
      <c r="H45" s="48"/>
    </row>
    <row r="46" spans="1:8" x14ac:dyDescent="0.3">
      <c r="B46" s="50" t="s">
        <v>454</v>
      </c>
      <c r="C46" s="25"/>
      <c r="D46" s="25"/>
      <c r="E46" s="29"/>
    </row>
    <row r="47" spans="1:8" x14ac:dyDescent="0.3">
      <c r="B47" s="30" t="s">
        <v>104</v>
      </c>
      <c r="C47" s="5">
        <v>715.7</v>
      </c>
      <c r="D47" s="5"/>
      <c r="E47" s="31" t="s">
        <v>116</v>
      </c>
    </row>
    <row r="48" spans="1:8" x14ac:dyDescent="0.3">
      <c r="B48" s="30" t="s">
        <v>105</v>
      </c>
      <c r="C48" s="5"/>
      <c r="D48" s="5">
        <v>715.7</v>
      </c>
      <c r="E48" s="31" t="s">
        <v>32</v>
      </c>
    </row>
    <row r="49" spans="2:5" x14ac:dyDescent="0.3">
      <c r="B49" s="32"/>
      <c r="C49" s="33"/>
      <c r="D49" s="33"/>
      <c r="E49" s="34"/>
    </row>
  </sheetData>
  <pageMargins left="0.7" right="0.7" top="0.5" bottom="0.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topLeftCell="A16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352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43191</v>
      </c>
      <c r="C6" s="4" t="s">
        <v>10</v>
      </c>
      <c r="D6" s="4" t="s">
        <v>11</v>
      </c>
      <c r="E6" s="24">
        <v>43555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v>238885.24</v>
      </c>
      <c r="C8" s="5">
        <f>+'Office &amp; Computer Equip'!F77</f>
        <v>21166.39</v>
      </c>
      <c r="D8" s="5">
        <v>-1287</v>
      </c>
      <c r="E8" s="5">
        <f>SUM(B8:D8)</f>
        <v>258764.63</v>
      </c>
      <c r="F8" s="8" t="s">
        <v>17</v>
      </c>
    </row>
    <row r="9" spans="1:6" x14ac:dyDescent="0.3">
      <c r="A9" t="s">
        <v>282</v>
      </c>
      <c r="B9" s="5">
        <v>170470.59</v>
      </c>
      <c r="C9" s="5">
        <f>+'F&amp;F'!E35</f>
        <v>5036.8999999999996</v>
      </c>
      <c r="D9" s="5"/>
      <c r="E9" s="5">
        <f t="shared" ref="E9:E14" si="0">SUM(B9:D9)</f>
        <v>175507.49</v>
      </c>
      <c r="F9" s="8" t="s">
        <v>17</v>
      </c>
    </row>
    <row r="10" spans="1:6" x14ac:dyDescent="0.3">
      <c r="A10" t="s">
        <v>3</v>
      </c>
      <c r="B10" s="5"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2016 2017'!E11</f>
        <v>227943.2</v>
      </c>
      <c r="C11" s="5"/>
      <c r="D11" s="5">
        <f>-53665.2-103700-27378-43200</f>
        <v>-227943.2</v>
      </c>
      <c r="E11" s="5">
        <f t="shared" si="0"/>
        <v>0</v>
      </c>
      <c r="F11" s="8" t="s">
        <v>17</v>
      </c>
    </row>
    <row r="12" spans="1:6" x14ac:dyDescent="0.3">
      <c r="A12" t="s">
        <v>283</v>
      </c>
      <c r="B12" s="5">
        <v>2131067.14</v>
      </c>
      <c r="C12" s="5">
        <f>+'Plant Equip'!F60</f>
        <v>126350.25</v>
      </c>
      <c r="D12" s="5">
        <f>-996.75-10026</f>
        <v>-11022.75</v>
      </c>
      <c r="E12" s="5">
        <f t="shared" si="0"/>
        <v>2246394.64</v>
      </c>
      <c r="F12" s="8" t="s">
        <v>17</v>
      </c>
    </row>
    <row r="13" spans="1:6" x14ac:dyDescent="0.3">
      <c r="A13" t="s">
        <v>6</v>
      </c>
      <c r="B13" s="5">
        <f>+'FY 2016 2017'!E13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2016 2017'!E14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2768366.17</v>
      </c>
      <c r="C15" s="6">
        <f t="shared" ref="C15:E15" si="1">SUM(C8:C14)</f>
        <v>152553.54</v>
      </c>
      <c r="D15" s="6">
        <f t="shared" si="1"/>
        <v>-240252.95</v>
      </c>
      <c r="E15" s="6">
        <f t="shared" si="1"/>
        <v>2680666.7600000002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364</v>
      </c>
      <c r="C19" s="4" t="s">
        <v>10</v>
      </c>
      <c r="D19" s="4" t="s">
        <v>11</v>
      </c>
      <c r="E19" s="24">
        <v>43555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v>-220809.39</v>
      </c>
      <c r="C21" s="5">
        <f>-668.85-1107.63-729.55-1107.59-756.18-1107.62-756.15-1107.61-756.14-922.79-976.75-922.78-937.06-922.76-937.04-922.78-1003.57-922.78-1003.53-922.77-1025.6-120.91-1025.63-120.9</f>
        <v>-20784.97</v>
      </c>
      <c r="D21" s="5">
        <v>858</v>
      </c>
      <c r="E21" s="5">
        <f>SUM(B21:D21)</f>
        <v>-240736.36000000002</v>
      </c>
      <c r="F21" s="8" t="s">
        <v>17</v>
      </c>
    </row>
    <row r="22" spans="1:6" x14ac:dyDescent="0.3">
      <c r="A22" t="s">
        <v>37</v>
      </c>
      <c r="B22" s="5">
        <v>-67181.11</v>
      </c>
      <c r="C22" s="5">
        <f>-1268.93-1268.95-1268.91-1314.19-1314.23-1323.2-1323.19-1323.24-1323.25-1323.22-1323.24-1323.22</f>
        <v>-15697.769999999997</v>
      </c>
      <c r="D22" s="5"/>
      <c r="E22" s="5">
        <f t="shared" ref="E22:E26" si="2">SUM(B22:D22)</f>
        <v>-82878.880000000005</v>
      </c>
      <c r="F22" s="8" t="s">
        <v>17</v>
      </c>
    </row>
    <row r="23" spans="1:6" x14ac:dyDescent="0.3">
      <c r="A23" t="s">
        <v>3</v>
      </c>
      <c r="B23" s="5">
        <v>0</v>
      </c>
      <c r="C23" s="5"/>
      <c r="D23" s="5"/>
      <c r="E23" s="5">
        <f t="shared" si="2"/>
        <v>0</v>
      </c>
    </row>
    <row r="24" spans="1:6" x14ac:dyDescent="0.3">
      <c r="A24" t="s">
        <v>38</v>
      </c>
      <c r="B24" s="5">
        <v>-227943.2</v>
      </c>
      <c r="D24" s="5">
        <v>227943.2</v>
      </c>
      <c r="E24" s="5">
        <f t="shared" si="2"/>
        <v>0</v>
      </c>
      <c r="F24" s="8" t="s">
        <v>17</v>
      </c>
    </row>
    <row r="25" spans="1:6" x14ac:dyDescent="0.3">
      <c r="A25" t="s">
        <v>39</v>
      </c>
      <c r="B25" s="5">
        <v>-1550897.27</v>
      </c>
      <c r="C25" s="5">
        <f>-12090.98-12090.94-12168.35-12168.29-12084.78-12228.84-13365.76-13365.77-13365.83-13380.43-13380.56-13380.48</f>
        <v>-153071.01</v>
      </c>
      <c r="D25" s="5">
        <f>996.75+5096.55</f>
        <v>6093.3</v>
      </c>
      <c r="E25" s="5">
        <f t="shared" si="2"/>
        <v>-1697874.98</v>
      </c>
      <c r="F25" s="8" t="s">
        <v>17</v>
      </c>
    </row>
    <row r="26" spans="1:6" x14ac:dyDescent="0.3">
      <c r="A26" t="s">
        <v>40</v>
      </c>
      <c r="B26" s="5">
        <f>+'FY 2016 2017'!E26</f>
        <v>0</v>
      </c>
      <c r="C26" s="5"/>
      <c r="D26" s="5"/>
      <c r="E26" s="5">
        <f t="shared" si="2"/>
        <v>0</v>
      </c>
    </row>
    <row r="27" spans="1:6" x14ac:dyDescent="0.3">
      <c r="B27" s="6">
        <f>SUM(B21:B26)</f>
        <v>-2066830.97</v>
      </c>
      <c r="C27" s="6">
        <f>SUM(C21:C26)</f>
        <v>-189553.75</v>
      </c>
      <c r="D27" s="6">
        <f>SUM(D21:D26)</f>
        <v>234894.5</v>
      </c>
      <c r="E27" s="6">
        <f>SUM(E21:E26)</f>
        <v>-2021490.22</v>
      </c>
    </row>
    <row r="29" spans="1:6" ht="15" thickBot="1" x14ac:dyDescent="0.35">
      <c r="A29" s="7" t="s">
        <v>16</v>
      </c>
      <c r="B29" s="10">
        <f>+B15+B27</f>
        <v>701535.2</v>
      </c>
      <c r="C29" s="10">
        <f>+C15+C27</f>
        <v>-37000.209999999992</v>
      </c>
      <c r="D29" s="10">
        <f>+D15+D27</f>
        <v>-5358.4500000000116</v>
      </c>
      <c r="E29" s="20">
        <f>+E15+E27</f>
        <v>659176.54000000027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224</v>
      </c>
    </row>
    <row r="35" spans="1:1" x14ac:dyDescent="0.3">
      <c r="A35" s="9" t="s">
        <v>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5"/>
  <sheetViews>
    <sheetView topLeftCell="A31" workbookViewId="0">
      <selection activeCell="B28" sqref="B28"/>
    </sheetView>
  </sheetViews>
  <sheetFormatPr defaultRowHeight="14.4" x14ac:dyDescent="0.3"/>
  <cols>
    <col min="3" max="3" width="12.33203125" customWidth="1"/>
    <col min="4" max="4" width="11.6640625" customWidth="1"/>
    <col min="5" max="5" width="11.33203125" customWidth="1"/>
    <col min="6" max="6" width="11.6640625" customWidth="1"/>
    <col min="8" max="8" width="10.33203125" customWidth="1"/>
    <col min="9" max="9" width="11.33203125" customWidth="1"/>
    <col min="10" max="11" width="10.109375" bestFit="1" customWidth="1"/>
  </cols>
  <sheetData>
    <row r="1" spans="1:8" x14ac:dyDescent="0.3">
      <c r="A1" s="11" t="str">
        <f>'FY 2024 2025'!$A$1</f>
        <v>AA Inc</v>
      </c>
    </row>
    <row r="2" spans="1:8" x14ac:dyDescent="0.3">
      <c r="A2" t="s">
        <v>225</v>
      </c>
    </row>
    <row r="3" spans="1:8" x14ac:dyDescent="0.3">
      <c r="A3" t="s">
        <v>355</v>
      </c>
    </row>
    <row r="5" spans="1:8" x14ac:dyDescent="0.3">
      <c r="A5" s="48" t="s">
        <v>227</v>
      </c>
      <c r="B5" t="s">
        <v>363</v>
      </c>
      <c r="G5" s="11" t="s">
        <v>383</v>
      </c>
      <c r="H5" s="7"/>
    </row>
    <row r="6" spans="1:8" x14ac:dyDescent="0.3">
      <c r="G6" s="5"/>
      <c r="H6" s="5"/>
    </row>
    <row r="7" spans="1:8" x14ac:dyDescent="0.3">
      <c r="B7" s="50" t="s">
        <v>360</v>
      </c>
      <c r="C7" s="25"/>
      <c r="D7" s="25"/>
      <c r="E7" s="29"/>
    </row>
    <row r="8" spans="1:8" x14ac:dyDescent="0.3">
      <c r="B8" s="30" t="s">
        <v>104</v>
      </c>
      <c r="C8" s="5">
        <v>858</v>
      </c>
      <c r="D8" s="5"/>
      <c r="E8" s="31" t="s">
        <v>116</v>
      </c>
    </row>
    <row r="9" spans="1:8" x14ac:dyDescent="0.3">
      <c r="B9" s="30" t="s">
        <v>105</v>
      </c>
      <c r="C9" s="5"/>
      <c r="D9" s="5">
        <v>1287</v>
      </c>
      <c r="E9" s="31" t="s">
        <v>32</v>
      </c>
    </row>
    <row r="10" spans="1:8" x14ac:dyDescent="0.3">
      <c r="B10" s="32" t="s">
        <v>357</v>
      </c>
      <c r="C10" s="33">
        <f>+D9-C8</f>
        <v>429</v>
      </c>
      <c r="D10" s="33"/>
      <c r="E10" s="34" t="s">
        <v>359</v>
      </c>
    </row>
    <row r="13" spans="1:8" x14ac:dyDescent="0.3">
      <c r="A13" s="48" t="s">
        <v>230</v>
      </c>
      <c r="B13" t="s">
        <v>367</v>
      </c>
      <c r="G13" t="s">
        <v>382</v>
      </c>
    </row>
    <row r="15" spans="1:8" x14ac:dyDescent="0.3">
      <c r="B15" s="50" t="s">
        <v>377</v>
      </c>
      <c r="C15" s="25"/>
      <c r="D15" s="25"/>
      <c r="E15" s="29"/>
    </row>
    <row r="16" spans="1:8" x14ac:dyDescent="0.3">
      <c r="B16" s="30" t="s">
        <v>104</v>
      </c>
      <c r="C16" s="5">
        <v>996.75</v>
      </c>
      <c r="D16" s="5"/>
      <c r="E16" s="31" t="s">
        <v>280</v>
      </c>
    </row>
    <row r="17" spans="1:10" x14ac:dyDescent="0.3">
      <c r="B17" s="32" t="s">
        <v>105</v>
      </c>
      <c r="C17" s="33"/>
      <c r="D17" s="33">
        <v>996.75</v>
      </c>
      <c r="E17" s="34" t="s">
        <v>33</v>
      </c>
    </row>
    <row r="20" spans="1:10" x14ac:dyDescent="0.3">
      <c r="A20" s="48" t="s">
        <v>319</v>
      </c>
      <c r="B20" t="s">
        <v>366</v>
      </c>
      <c r="J20" t="s">
        <v>382</v>
      </c>
    </row>
    <row r="21" spans="1:10" x14ac:dyDescent="0.3">
      <c r="A21" s="48"/>
    </row>
    <row r="22" spans="1:10" x14ac:dyDescent="0.3">
      <c r="A22" s="48"/>
      <c r="B22" s="50" t="s">
        <v>389</v>
      </c>
      <c r="C22" s="25"/>
      <c r="D22" s="25"/>
      <c r="E22" s="29"/>
      <c r="G22" t="s">
        <v>384</v>
      </c>
      <c r="H22" s="49">
        <v>10280</v>
      </c>
      <c r="I22" s="5"/>
    </row>
    <row r="23" spans="1:10" x14ac:dyDescent="0.3">
      <c r="B23" s="30" t="s">
        <v>104</v>
      </c>
      <c r="C23" s="5">
        <v>5096.55</v>
      </c>
      <c r="D23" s="5"/>
      <c r="E23" s="31" t="s">
        <v>280</v>
      </c>
      <c r="G23" t="s">
        <v>385</v>
      </c>
      <c r="H23" s="5"/>
      <c r="I23" s="5">
        <v>10026</v>
      </c>
    </row>
    <row r="24" spans="1:10" x14ac:dyDescent="0.3">
      <c r="B24" s="30" t="s">
        <v>105</v>
      </c>
      <c r="C24" s="5"/>
      <c r="D24" s="5">
        <v>10026</v>
      </c>
      <c r="E24" s="31" t="s">
        <v>33</v>
      </c>
      <c r="G24" t="s">
        <v>104</v>
      </c>
      <c r="H24" s="5">
        <v>5096.55</v>
      </c>
      <c r="I24" s="5"/>
    </row>
    <row r="25" spans="1:10" x14ac:dyDescent="0.3">
      <c r="B25" s="32" t="s">
        <v>357</v>
      </c>
      <c r="C25" s="33">
        <f>+D24-C23</f>
        <v>4929.45</v>
      </c>
      <c r="D25" s="33"/>
      <c r="E25" s="34" t="s">
        <v>279</v>
      </c>
      <c r="G25" t="s">
        <v>386</v>
      </c>
      <c r="H25" s="5"/>
      <c r="I25" s="49">
        <f>+H22+H24-I23</f>
        <v>5350.5499999999993</v>
      </c>
    </row>
    <row r="26" spans="1:10" x14ac:dyDescent="0.3">
      <c r="H26" s="5">
        <f>SUM(H22:H25)</f>
        <v>15376.55</v>
      </c>
      <c r="I26" s="5">
        <f>SUM(I22:I25)</f>
        <v>15376.55</v>
      </c>
    </row>
    <row r="27" spans="1:10" x14ac:dyDescent="0.3">
      <c r="B27" t="s">
        <v>750</v>
      </c>
      <c r="G27" s="53" t="s">
        <v>387</v>
      </c>
      <c r="H27" s="53"/>
      <c r="I27" s="53"/>
      <c r="J27" s="53"/>
    </row>
    <row r="30" spans="1:10" x14ac:dyDescent="0.3">
      <c r="A30" s="48" t="s">
        <v>335</v>
      </c>
      <c r="B30" t="s">
        <v>368</v>
      </c>
      <c r="F30" t="s">
        <v>382</v>
      </c>
    </row>
    <row r="32" spans="1:10" x14ac:dyDescent="0.3">
      <c r="B32" s="50" t="s">
        <v>378</v>
      </c>
      <c r="C32" s="25"/>
      <c r="D32" s="25"/>
      <c r="E32" s="29"/>
    </row>
    <row r="33" spans="1:6" x14ac:dyDescent="0.3">
      <c r="B33" s="30" t="s">
        <v>104</v>
      </c>
      <c r="C33" s="5">
        <v>53665.2</v>
      </c>
      <c r="D33" s="5"/>
      <c r="E33" s="31" t="s">
        <v>369</v>
      </c>
    </row>
    <row r="34" spans="1:6" x14ac:dyDescent="0.3">
      <c r="B34" s="32" t="s">
        <v>105</v>
      </c>
      <c r="C34" s="33"/>
      <c r="D34" s="33">
        <f>+C33</f>
        <v>53665.2</v>
      </c>
      <c r="E34" s="34" t="s">
        <v>370</v>
      </c>
    </row>
    <row r="37" spans="1:6" x14ac:dyDescent="0.3">
      <c r="A37" s="48" t="s">
        <v>371</v>
      </c>
      <c r="B37" t="s">
        <v>372</v>
      </c>
      <c r="F37" t="s">
        <v>382</v>
      </c>
    </row>
    <row r="39" spans="1:6" x14ac:dyDescent="0.3">
      <c r="B39" s="50" t="s">
        <v>379</v>
      </c>
      <c r="C39" s="25"/>
      <c r="D39" s="25"/>
      <c r="E39" s="29"/>
    </row>
    <row r="40" spans="1:6" x14ac:dyDescent="0.3">
      <c r="B40" s="30" t="s">
        <v>104</v>
      </c>
      <c r="C40" s="5">
        <v>103700</v>
      </c>
      <c r="D40" s="5"/>
      <c r="E40" s="31" t="s">
        <v>369</v>
      </c>
    </row>
    <row r="41" spans="1:6" x14ac:dyDescent="0.3">
      <c r="B41" s="32" t="s">
        <v>105</v>
      </c>
      <c r="C41" s="33"/>
      <c r="D41" s="33">
        <f>+C40</f>
        <v>103700</v>
      </c>
      <c r="E41" s="34" t="s">
        <v>370</v>
      </c>
    </row>
    <row r="44" spans="1:6" x14ac:dyDescent="0.3">
      <c r="A44" s="48" t="s">
        <v>374</v>
      </c>
      <c r="B44" t="s">
        <v>373</v>
      </c>
      <c r="F44" t="s">
        <v>382</v>
      </c>
    </row>
    <row r="46" spans="1:6" x14ac:dyDescent="0.3">
      <c r="B46" s="50" t="s">
        <v>380</v>
      </c>
      <c r="C46" s="25"/>
      <c r="D46" s="25"/>
      <c r="E46" s="29"/>
    </row>
    <row r="47" spans="1:6" x14ac:dyDescent="0.3">
      <c r="B47" s="30" t="s">
        <v>104</v>
      </c>
      <c r="C47" s="5">
        <v>27378</v>
      </c>
      <c r="D47" s="5"/>
      <c r="E47" s="31" t="s">
        <v>369</v>
      </c>
    </row>
    <row r="48" spans="1:6" x14ac:dyDescent="0.3">
      <c r="B48" s="32" t="s">
        <v>105</v>
      </c>
      <c r="C48" s="33"/>
      <c r="D48" s="33">
        <f>+C47</f>
        <v>27378</v>
      </c>
      <c r="E48" s="34" t="s">
        <v>370</v>
      </c>
    </row>
    <row r="51" spans="1:6" x14ac:dyDescent="0.3">
      <c r="A51" s="48" t="s">
        <v>375</v>
      </c>
      <c r="B51" t="s">
        <v>376</v>
      </c>
      <c r="F51" t="s">
        <v>382</v>
      </c>
    </row>
    <row r="53" spans="1:6" x14ac:dyDescent="0.3">
      <c r="B53" s="50" t="s">
        <v>381</v>
      </c>
      <c r="C53" s="25"/>
      <c r="D53" s="25"/>
      <c r="E53" s="29"/>
    </row>
    <row r="54" spans="1:6" x14ac:dyDescent="0.3">
      <c r="B54" s="30" t="s">
        <v>104</v>
      </c>
      <c r="C54" s="5">
        <v>43200</v>
      </c>
      <c r="D54" s="5"/>
      <c r="E54" s="31" t="s">
        <v>369</v>
      </c>
    </row>
    <row r="55" spans="1:6" x14ac:dyDescent="0.3">
      <c r="B55" s="32" t="s">
        <v>105</v>
      </c>
      <c r="C55" s="33"/>
      <c r="D55" s="33">
        <f>+C54</f>
        <v>43200</v>
      </c>
      <c r="E55" s="34" t="s">
        <v>370</v>
      </c>
    </row>
  </sheetData>
  <pageMargins left="0.45" right="0.2" top="0.5" bottom="0.5" header="0.3" footer="0.3"/>
  <pageSetup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5"/>
  <sheetViews>
    <sheetView topLeftCell="A10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4.5546875" customWidth="1"/>
    <col min="5" max="5" width="15.88671875" customWidth="1"/>
    <col min="6" max="6" width="8.886718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250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42826</v>
      </c>
      <c r="C6" s="4" t="s">
        <v>10</v>
      </c>
      <c r="D6" s="4" t="s">
        <v>11</v>
      </c>
      <c r="E6" s="24">
        <v>43190</v>
      </c>
    </row>
    <row r="7" spans="1:6" x14ac:dyDescent="0.3">
      <c r="B7" s="2"/>
      <c r="C7" s="1"/>
      <c r="D7" s="1"/>
      <c r="E7" s="2"/>
    </row>
    <row r="8" spans="1:6" x14ac:dyDescent="0.3">
      <c r="A8" t="s">
        <v>281</v>
      </c>
      <c r="B8" s="5">
        <f>+'FY 2016 2017'!E8</f>
        <v>253287.53</v>
      </c>
      <c r="C8" s="5">
        <f>+'Office &amp; Computer Equip'!F67</f>
        <v>-545.18000000000063</v>
      </c>
      <c r="D8" s="5">
        <f>-13327.11-530</f>
        <v>-13857.11</v>
      </c>
      <c r="E8" s="5">
        <f>SUM(B8:D8)</f>
        <v>238885.24</v>
      </c>
      <c r="F8" s="8" t="s">
        <v>17</v>
      </c>
    </row>
    <row r="9" spans="1:6" x14ac:dyDescent="0.3">
      <c r="A9" t="s">
        <v>282</v>
      </c>
      <c r="B9" s="5">
        <f>+'FY 2016 2017'!E9</f>
        <v>151564.57999999999</v>
      </c>
      <c r="C9" s="5">
        <f>+'F&amp;F'!E31</f>
        <v>25415.01</v>
      </c>
      <c r="D9" s="5">
        <f>-6509</f>
        <v>-6509</v>
      </c>
      <c r="E9" s="5">
        <f t="shared" ref="E9:E14" si="0">SUM(B9:D9)</f>
        <v>170470.59</v>
      </c>
      <c r="F9" s="8" t="s">
        <v>17</v>
      </c>
    </row>
    <row r="10" spans="1:6" x14ac:dyDescent="0.3">
      <c r="A10" t="s">
        <v>3</v>
      </c>
      <c r="B10" s="5">
        <f>+'FY 2016 2017'!E10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2016 2017'!E11</f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283</v>
      </c>
      <c r="B12" s="5">
        <f>+'FY 2016 2017'!E12</f>
        <v>2809365.04</v>
      </c>
      <c r="C12" s="5">
        <f>+'Plant Equip'!F50</f>
        <v>30213.63</v>
      </c>
      <c r="D12" s="5">
        <f>-751.53-13260-721847.87+27347.87</f>
        <v>-708511.53</v>
      </c>
      <c r="E12" s="5">
        <f t="shared" si="0"/>
        <v>2131067.1399999997</v>
      </c>
      <c r="F12" s="8" t="s">
        <v>17</v>
      </c>
    </row>
    <row r="13" spans="1:6" x14ac:dyDescent="0.3">
      <c r="A13" t="s">
        <v>6</v>
      </c>
      <c r="B13" s="5">
        <f>+'FY 2016 2017'!E13</f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f>+'FY 2016 2017'!E14</f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3442160.35</v>
      </c>
      <c r="C15" s="6">
        <f t="shared" ref="C15:E15" si="1">SUM(C8:C14)</f>
        <v>55083.46</v>
      </c>
      <c r="D15" s="6">
        <f t="shared" si="1"/>
        <v>-728877.64</v>
      </c>
      <c r="E15" s="6">
        <f t="shared" si="1"/>
        <v>2768366.17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365</v>
      </c>
      <c r="C19" s="4" t="s">
        <v>10</v>
      </c>
      <c r="D19" s="4" t="s">
        <v>11</v>
      </c>
      <c r="E19" s="24">
        <v>43190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f>+'FY 2016 2017'!E21</f>
        <v>-209964.11</v>
      </c>
      <c r="C21" s="5">
        <f>-1308.16-1224.37-1126.72-1241.39-1037.23-1241.42-888.31-1241.4-888.28-1225.7-888.31-1225.69-791.97-1107.59-823.53-1107.62-770.07-1107.61-776.11-1107.61-689.23-1107.61-668.84-1107.62</f>
        <v>-24702.390000000003</v>
      </c>
      <c r="D21" s="5">
        <f>13327.11+530</f>
        <v>13857.11</v>
      </c>
      <c r="E21" s="5">
        <f>SUM(B21:D21)</f>
        <v>-220809.39</v>
      </c>
      <c r="F21" s="8" t="s">
        <v>17</v>
      </c>
    </row>
    <row r="22" spans="1:6" x14ac:dyDescent="0.3">
      <c r="A22" t="s">
        <v>37</v>
      </c>
      <c r="B22" s="5">
        <f>+'FY 2016 2017'!E22</f>
        <v>-58740.5</v>
      </c>
      <c r="C22" s="5">
        <f>-1135.73-1180.02-1263.34-1263.38-1263.38-1263.36-1263.32-1263.38-1263.39-1263.35-1263.36-1263.6</f>
        <v>-14949.61</v>
      </c>
      <c r="D22" s="5">
        <f>6509</f>
        <v>6509</v>
      </c>
      <c r="E22" s="5">
        <f t="shared" ref="E22:E26" si="2">SUM(B22:D22)</f>
        <v>-67181.11</v>
      </c>
      <c r="F22" s="8" t="s">
        <v>17</v>
      </c>
    </row>
    <row r="23" spans="1:6" x14ac:dyDescent="0.3">
      <c r="A23" t="s">
        <v>3</v>
      </c>
      <c r="B23" s="5">
        <f>+'FY 2016 2017'!E23</f>
        <v>0</v>
      </c>
      <c r="C23" s="5"/>
      <c r="D23" s="5"/>
      <c r="E23" s="5">
        <f t="shared" si="2"/>
        <v>0</v>
      </c>
    </row>
    <row r="24" spans="1:6" x14ac:dyDescent="0.3">
      <c r="A24" t="s">
        <v>38</v>
      </c>
      <c r="B24" s="5">
        <f>+'FY 2016 2017'!E24</f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f>+'FY 2016 2017'!E25</f>
        <v>-1570284.34</v>
      </c>
      <c r="C25" s="5">
        <f>-17773.28-17859.17-17852.96-17852.91-17852.93-17838.93-32.95-17859.62-12049.56-12049.64-12049.53-12114.5-12134.07</f>
        <v>-185320.05000000002</v>
      </c>
      <c r="D25" s="5">
        <f>231.72+13260+198508.17-7292.77</f>
        <v>204707.12000000002</v>
      </c>
      <c r="E25" s="5">
        <f t="shared" si="2"/>
        <v>-1550897.27</v>
      </c>
      <c r="F25" s="8" t="s">
        <v>17</v>
      </c>
    </row>
    <row r="26" spans="1:6" x14ac:dyDescent="0.3">
      <c r="A26" t="s">
        <v>40</v>
      </c>
      <c r="B26" s="5">
        <f>+'FY 2016 2017'!E26</f>
        <v>0</v>
      </c>
      <c r="C26" s="5"/>
      <c r="D26" s="5"/>
      <c r="E26" s="5">
        <f t="shared" si="2"/>
        <v>0</v>
      </c>
    </row>
    <row r="27" spans="1:6" x14ac:dyDescent="0.3">
      <c r="B27" s="6">
        <f>SUM(B21:B26)</f>
        <v>-2066932.1500000001</v>
      </c>
      <c r="C27" s="6">
        <f>SUM(C21:C26)</f>
        <v>-224972.05000000002</v>
      </c>
      <c r="D27" s="6">
        <f>SUM(D21:D26)</f>
        <v>225073.23000000004</v>
      </c>
      <c r="E27" s="6">
        <f>SUM(E21:E26)</f>
        <v>-2066830.97</v>
      </c>
    </row>
    <row r="29" spans="1:6" ht="15" thickBot="1" x14ac:dyDescent="0.35">
      <c r="A29" s="7" t="s">
        <v>16</v>
      </c>
      <c r="B29" s="10">
        <f>+B15+B27</f>
        <v>1375228.2</v>
      </c>
      <c r="C29" s="10">
        <f>+C15+C27</f>
        <v>-169888.59000000003</v>
      </c>
      <c r="D29" s="10">
        <f>+D15+D27</f>
        <v>-503804.41</v>
      </c>
      <c r="E29" s="20">
        <f>+E15+E27</f>
        <v>701535.2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224</v>
      </c>
    </row>
    <row r="35" spans="1:1" x14ac:dyDescent="0.3">
      <c r="A35" s="9" t="s">
        <v>18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7"/>
  <sheetViews>
    <sheetView topLeftCell="A46" workbookViewId="0">
      <selection activeCell="B58" sqref="B58"/>
    </sheetView>
  </sheetViews>
  <sheetFormatPr defaultRowHeight="14.4" x14ac:dyDescent="0.3"/>
  <cols>
    <col min="1" max="1" width="4.44140625" customWidth="1"/>
    <col min="2" max="2" width="14.6640625" customWidth="1"/>
    <col min="3" max="3" width="11.109375" bestFit="1" customWidth="1"/>
    <col min="4" max="4" width="11.6640625" bestFit="1" customWidth="1"/>
    <col min="5" max="5" width="12.33203125" customWidth="1"/>
    <col min="7" max="7" width="11.33203125" customWidth="1"/>
    <col min="8" max="8" width="10.6640625" customWidth="1"/>
  </cols>
  <sheetData>
    <row r="1" spans="1:8" x14ac:dyDescent="0.3">
      <c r="A1" s="11" t="str">
        <f>'FY 2024 2025'!$A$1</f>
        <v>AA Inc</v>
      </c>
    </row>
    <row r="2" spans="1:8" x14ac:dyDescent="0.3">
      <c r="A2" t="s">
        <v>225</v>
      </c>
    </row>
    <row r="3" spans="1:8" x14ac:dyDescent="0.3">
      <c r="A3" t="s">
        <v>264</v>
      </c>
    </row>
    <row r="5" spans="1:8" x14ac:dyDescent="0.3">
      <c r="A5" s="48" t="s">
        <v>227</v>
      </c>
      <c r="B5" t="s">
        <v>272</v>
      </c>
      <c r="G5" s="7" t="s">
        <v>273</v>
      </c>
      <c r="H5" s="7" t="s">
        <v>274</v>
      </c>
    </row>
    <row r="6" spans="1:8" x14ac:dyDescent="0.3">
      <c r="C6" t="s">
        <v>265</v>
      </c>
      <c r="E6" s="22"/>
      <c r="G6" s="5">
        <v>3795.86</v>
      </c>
      <c r="H6">
        <v>3795.86</v>
      </c>
    </row>
    <row r="7" spans="1:8" x14ac:dyDescent="0.3">
      <c r="C7" t="s">
        <v>266</v>
      </c>
      <c r="G7" s="5">
        <v>1425.7</v>
      </c>
      <c r="H7">
        <v>1425.7</v>
      </c>
    </row>
    <row r="8" spans="1:8" x14ac:dyDescent="0.3">
      <c r="C8" s="22" t="s">
        <v>267</v>
      </c>
      <c r="G8" s="5">
        <v>848.64</v>
      </c>
      <c r="H8">
        <v>848.64</v>
      </c>
    </row>
    <row r="9" spans="1:8" x14ac:dyDescent="0.3">
      <c r="C9" t="s">
        <v>268</v>
      </c>
      <c r="D9" s="5"/>
      <c r="G9" s="5">
        <v>2368.04</v>
      </c>
      <c r="H9">
        <v>2368.04</v>
      </c>
    </row>
    <row r="10" spans="1:8" x14ac:dyDescent="0.3">
      <c r="C10" t="s">
        <v>269</v>
      </c>
      <c r="D10" s="5"/>
      <c r="G10" s="5">
        <v>1531.81</v>
      </c>
      <c r="H10">
        <v>1531.81</v>
      </c>
    </row>
    <row r="11" spans="1:8" x14ac:dyDescent="0.3">
      <c r="C11" t="s">
        <v>270</v>
      </c>
      <c r="D11" s="5"/>
      <c r="G11" s="5">
        <v>1541.24</v>
      </c>
      <c r="H11">
        <v>1541.24</v>
      </c>
    </row>
    <row r="12" spans="1:8" x14ac:dyDescent="0.3">
      <c r="C12" t="s">
        <v>271</v>
      </c>
      <c r="G12" s="5">
        <v>1815.82</v>
      </c>
      <c r="H12">
        <v>1815.82</v>
      </c>
    </row>
    <row r="13" spans="1:8" x14ac:dyDescent="0.3">
      <c r="G13" s="6">
        <f>SUM(G6:G12)</f>
        <v>13327.11</v>
      </c>
      <c r="H13" s="6">
        <f>SUM(H6:H12)</f>
        <v>13327.11</v>
      </c>
    </row>
    <row r="14" spans="1:8" x14ac:dyDescent="0.3">
      <c r="A14" s="48"/>
      <c r="E14" s="22"/>
    </row>
    <row r="16" spans="1:8" x14ac:dyDescent="0.3">
      <c r="B16" s="50" t="s">
        <v>275</v>
      </c>
      <c r="C16" s="25"/>
      <c r="D16" s="25"/>
      <c r="E16" s="29"/>
    </row>
    <row r="17" spans="1:8" x14ac:dyDescent="0.3">
      <c r="B17" s="30" t="s">
        <v>104</v>
      </c>
      <c r="C17" s="5">
        <v>13327.11</v>
      </c>
      <c r="D17" s="5"/>
      <c r="E17" s="31" t="s">
        <v>116</v>
      </c>
    </row>
    <row r="18" spans="1:8" x14ac:dyDescent="0.3">
      <c r="B18" s="30" t="s">
        <v>105</v>
      </c>
      <c r="C18" s="5"/>
      <c r="D18" s="5">
        <f>+C17</f>
        <v>13327.11</v>
      </c>
      <c r="E18" s="31" t="s">
        <v>32</v>
      </c>
    </row>
    <row r="19" spans="1:8" x14ac:dyDescent="0.3">
      <c r="B19" s="32"/>
      <c r="C19" s="33"/>
      <c r="D19" s="33"/>
      <c r="E19" s="34"/>
    </row>
    <row r="22" spans="1:8" x14ac:dyDescent="0.3">
      <c r="A22" s="48" t="s">
        <v>230</v>
      </c>
      <c r="B22" t="s">
        <v>276</v>
      </c>
      <c r="G22" s="7"/>
      <c r="H22" s="7"/>
    </row>
    <row r="23" spans="1:8" x14ac:dyDescent="0.3">
      <c r="C23" t="s">
        <v>277</v>
      </c>
    </row>
    <row r="25" spans="1:8" x14ac:dyDescent="0.3">
      <c r="B25" s="50" t="s">
        <v>284</v>
      </c>
      <c r="C25" s="25"/>
      <c r="D25" s="25"/>
      <c r="E25" s="29"/>
    </row>
    <row r="26" spans="1:8" x14ac:dyDescent="0.3">
      <c r="B26" s="30" t="s">
        <v>104</v>
      </c>
      <c r="C26" s="5">
        <v>231.72</v>
      </c>
      <c r="D26" s="5"/>
      <c r="E26" s="31" t="s">
        <v>280</v>
      </c>
    </row>
    <row r="27" spans="1:8" x14ac:dyDescent="0.3">
      <c r="B27" s="30" t="s">
        <v>278</v>
      </c>
      <c r="C27" s="5">
        <v>519.80999999999995</v>
      </c>
      <c r="D27" s="5"/>
      <c r="E27" s="31" t="s">
        <v>279</v>
      </c>
    </row>
    <row r="28" spans="1:8" x14ac:dyDescent="0.3">
      <c r="B28" s="30" t="s">
        <v>105</v>
      </c>
      <c r="C28" s="5"/>
      <c r="D28" s="5">
        <v>751.53</v>
      </c>
      <c r="E28" s="31" t="s">
        <v>33</v>
      </c>
    </row>
    <row r="29" spans="1:8" x14ac:dyDescent="0.3">
      <c r="B29" s="32"/>
      <c r="C29" s="33"/>
      <c r="D29" s="33"/>
      <c r="E29" s="34"/>
    </row>
    <row r="31" spans="1:8" x14ac:dyDescent="0.3">
      <c r="A31" s="48" t="s">
        <v>319</v>
      </c>
      <c r="B31" t="s">
        <v>320</v>
      </c>
    </row>
    <row r="32" spans="1:8" x14ac:dyDescent="0.3">
      <c r="C32" t="s">
        <v>321</v>
      </c>
    </row>
    <row r="33" spans="1:5" x14ac:dyDescent="0.3">
      <c r="C33" t="s">
        <v>322</v>
      </c>
    </row>
    <row r="34" spans="1:5" x14ac:dyDescent="0.3">
      <c r="C34" t="s">
        <v>323</v>
      </c>
    </row>
    <row r="35" spans="1:5" x14ac:dyDescent="0.3">
      <c r="C35" t="s">
        <v>324</v>
      </c>
    </row>
    <row r="36" spans="1:5" x14ac:dyDescent="0.3">
      <c r="C36" t="s">
        <v>325</v>
      </c>
    </row>
    <row r="37" spans="1:5" x14ac:dyDescent="0.3">
      <c r="C37" t="s">
        <v>326</v>
      </c>
    </row>
    <row r="39" spans="1:5" x14ac:dyDescent="0.3">
      <c r="B39" s="50" t="s">
        <v>336</v>
      </c>
      <c r="C39" s="25"/>
      <c r="D39" s="25"/>
      <c r="E39" s="29"/>
    </row>
    <row r="40" spans="1:5" x14ac:dyDescent="0.3">
      <c r="B40" s="30" t="s">
        <v>104</v>
      </c>
      <c r="C40" s="5">
        <f>530</f>
        <v>530</v>
      </c>
      <c r="E40" s="31" t="s">
        <v>116</v>
      </c>
    </row>
    <row r="41" spans="1:5" x14ac:dyDescent="0.3">
      <c r="B41" s="30" t="s">
        <v>104</v>
      </c>
      <c r="C41" s="5">
        <f>5199+1190+120</f>
        <v>6509</v>
      </c>
      <c r="D41" s="5"/>
      <c r="E41" s="31" t="s">
        <v>327</v>
      </c>
    </row>
    <row r="42" spans="1:5" x14ac:dyDescent="0.3">
      <c r="B42" s="30" t="s">
        <v>104</v>
      </c>
      <c r="C42" s="5">
        <f>3075+10185</f>
        <v>13260</v>
      </c>
      <c r="D42" s="5"/>
      <c r="E42" s="31" t="s">
        <v>280</v>
      </c>
    </row>
    <row r="43" spans="1:5" x14ac:dyDescent="0.3">
      <c r="B43" s="30" t="s">
        <v>105</v>
      </c>
      <c r="C43" s="5"/>
      <c r="D43" s="5">
        <v>530</v>
      </c>
      <c r="E43" s="31" t="s">
        <v>32</v>
      </c>
    </row>
    <row r="44" spans="1:5" x14ac:dyDescent="0.3">
      <c r="B44" s="30" t="s">
        <v>105</v>
      </c>
      <c r="C44" s="5"/>
      <c r="D44" s="5">
        <f>5199+1190+120</f>
        <v>6509</v>
      </c>
      <c r="E44" s="31" t="s">
        <v>34</v>
      </c>
    </row>
    <row r="45" spans="1:5" x14ac:dyDescent="0.3">
      <c r="B45" s="30" t="s">
        <v>105</v>
      </c>
      <c r="C45" s="5"/>
      <c r="D45" s="5">
        <f>3075+10185</f>
        <v>13260</v>
      </c>
      <c r="E45" s="31" t="s">
        <v>33</v>
      </c>
    </row>
    <row r="46" spans="1:5" x14ac:dyDescent="0.3">
      <c r="B46" s="32"/>
      <c r="C46" s="33"/>
      <c r="D46" s="33"/>
      <c r="E46" s="34"/>
    </row>
    <row r="48" spans="1:5" x14ac:dyDescent="0.3">
      <c r="A48" s="48" t="s">
        <v>335</v>
      </c>
      <c r="B48" t="s">
        <v>340</v>
      </c>
    </row>
    <row r="49" spans="1:5" x14ac:dyDescent="0.3">
      <c r="A49" s="48"/>
    </row>
    <row r="50" spans="1:5" x14ac:dyDescent="0.3">
      <c r="B50" t="s">
        <v>341</v>
      </c>
    </row>
    <row r="51" spans="1:5" x14ac:dyDescent="0.3">
      <c r="B51" s="50" t="s">
        <v>344</v>
      </c>
      <c r="C51" s="25"/>
      <c r="D51" s="25"/>
      <c r="E51" s="29"/>
    </row>
    <row r="52" spans="1:5" x14ac:dyDescent="0.3">
      <c r="B52" s="30" t="s">
        <v>104</v>
      </c>
      <c r="C52" s="5">
        <v>198508.17</v>
      </c>
      <c r="D52" s="5"/>
      <c r="E52" s="31" t="s">
        <v>280</v>
      </c>
    </row>
    <row r="53" spans="1:5" x14ac:dyDescent="0.3">
      <c r="B53" s="30" t="s">
        <v>105</v>
      </c>
      <c r="C53" s="5"/>
      <c r="D53" s="5">
        <v>721847.87</v>
      </c>
      <c r="E53" s="31" t="s">
        <v>33</v>
      </c>
    </row>
    <row r="54" spans="1:5" x14ac:dyDescent="0.3">
      <c r="B54" s="32" t="s">
        <v>337</v>
      </c>
      <c r="C54" s="33">
        <f>+D53-C52</f>
        <v>523339.69999999995</v>
      </c>
      <c r="D54" s="33"/>
      <c r="E54" s="34" t="s">
        <v>338</v>
      </c>
    </row>
    <row r="56" spans="1:5" x14ac:dyDescent="0.3">
      <c r="B56" t="s">
        <v>748</v>
      </c>
    </row>
    <row r="57" spans="1:5" x14ac:dyDescent="0.3">
      <c r="B57" t="s">
        <v>749</v>
      </c>
    </row>
    <row r="59" spans="1:5" x14ac:dyDescent="0.3">
      <c r="B59" t="s">
        <v>342</v>
      </c>
    </row>
    <row r="60" spans="1:5" x14ac:dyDescent="0.3">
      <c r="B60" s="50" t="s">
        <v>345</v>
      </c>
      <c r="C60" s="25"/>
      <c r="D60" s="25"/>
      <c r="E60" s="29"/>
    </row>
    <row r="61" spans="1:5" x14ac:dyDescent="0.3">
      <c r="B61" s="30" t="s">
        <v>104</v>
      </c>
      <c r="C61" s="5"/>
      <c r="D61" s="5">
        <v>7292.77</v>
      </c>
      <c r="E61" s="31" t="s">
        <v>280</v>
      </c>
    </row>
    <row r="62" spans="1:5" x14ac:dyDescent="0.3">
      <c r="B62" s="30" t="s">
        <v>105</v>
      </c>
      <c r="C62" s="5">
        <v>27347.87</v>
      </c>
      <c r="D62" s="5"/>
      <c r="E62" s="31" t="s">
        <v>33</v>
      </c>
    </row>
    <row r="63" spans="1:5" x14ac:dyDescent="0.3">
      <c r="B63" s="32" t="s">
        <v>343</v>
      </c>
      <c r="C63" s="33"/>
      <c r="D63" s="33">
        <f>+C62-D61</f>
        <v>20055.099999999999</v>
      </c>
      <c r="E63" s="34" t="s">
        <v>338</v>
      </c>
    </row>
    <row r="65" spans="4:5" x14ac:dyDescent="0.3">
      <c r="D65" s="5">
        <f>+D63-C54</f>
        <v>-503284.6</v>
      </c>
      <c r="E65" t="s">
        <v>347</v>
      </c>
    </row>
    <row r="66" spans="4:5" x14ac:dyDescent="0.3">
      <c r="D66" s="5">
        <f>22454.22+22529.39+22604.82+22680.5+22756.44+199332.62</f>
        <v>312357.99</v>
      </c>
      <c r="E66" t="s">
        <v>348</v>
      </c>
    </row>
    <row r="67" spans="4:5" x14ac:dyDescent="0.3">
      <c r="D67" s="6">
        <f>SUM(D65:D66)</f>
        <v>-190926.61</v>
      </c>
      <c r="E67" t="s">
        <v>346</v>
      </c>
    </row>
  </sheetData>
  <pageMargins left="0.45" right="0.2" top="0.75" bottom="0.75" header="0.3" footer="0.3"/>
  <pageSetup scale="8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9"/>
  <sheetViews>
    <sheetView topLeftCell="A40" workbookViewId="0"/>
  </sheetViews>
  <sheetFormatPr defaultRowHeight="14.4" x14ac:dyDescent="0.3"/>
  <cols>
    <col min="1" max="1" width="11.109375" customWidth="1"/>
    <col min="2" max="2" width="17" customWidth="1"/>
    <col min="4" max="4" width="13.6640625" customWidth="1"/>
    <col min="5" max="5" width="13" customWidth="1"/>
    <col min="6" max="6" width="10.6640625" bestFit="1" customWidth="1"/>
  </cols>
  <sheetData>
    <row r="1" spans="1:6" x14ac:dyDescent="0.3">
      <c r="A1" s="11" t="str">
        <f>'FY 2024 2025'!$A$1</f>
        <v>AA Inc</v>
      </c>
    </row>
    <row r="2" spans="1:6" x14ac:dyDescent="0.3">
      <c r="A2" t="s">
        <v>292</v>
      </c>
    </row>
    <row r="4" spans="1:6" x14ac:dyDescent="0.3">
      <c r="E4" s="7" t="s">
        <v>296</v>
      </c>
    </row>
    <row r="5" spans="1:6" x14ac:dyDescent="0.3">
      <c r="C5" s="7" t="s">
        <v>294</v>
      </c>
      <c r="D5" s="7" t="s">
        <v>295</v>
      </c>
      <c r="E5" s="7" t="s">
        <v>274</v>
      </c>
    </row>
    <row r="6" spans="1:6" x14ac:dyDescent="0.3">
      <c r="C6" s="7"/>
      <c r="D6" s="7"/>
      <c r="E6" s="7"/>
    </row>
    <row r="7" spans="1:6" x14ac:dyDescent="0.3">
      <c r="A7" t="s">
        <v>298</v>
      </c>
      <c r="B7" t="s">
        <v>293</v>
      </c>
      <c r="D7" s="5">
        <v>124288.08</v>
      </c>
      <c r="E7" s="5">
        <f>103889.5</f>
        <v>103889.5</v>
      </c>
    </row>
    <row r="8" spans="1:6" x14ac:dyDescent="0.3">
      <c r="A8" t="s">
        <v>306</v>
      </c>
      <c r="B8" t="s">
        <v>293</v>
      </c>
      <c r="D8" s="5"/>
      <c r="E8" s="5">
        <f>1308.16</f>
        <v>1308.1600000000001</v>
      </c>
    </row>
    <row r="9" spans="1:6" x14ac:dyDescent="0.3">
      <c r="A9" t="s">
        <v>297</v>
      </c>
      <c r="B9" t="s">
        <v>303</v>
      </c>
      <c r="C9">
        <v>9</v>
      </c>
      <c r="D9" s="5">
        <v>-3795.86</v>
      </c>
      <c r="E9" s="5">
        <v>-3795.86</v>
      </c>
    </row>
    <row r="10" spans="1:6" x14ac:dyDescent="0.3">
      <c r="B10" t="s">
        <v>303</v>
      </c>
      <c r="C10">
        <v>35</v>
      </c>
      <c r="D10" s="5">
        <v>-1425.7</v>
      </c>
      <c r="E10" s="5">
        <v>-1425.7</v>
      </c>
    </row>
    <row r="11" spans="1:6" x14ac:dyDescent="0.3">
      <c r="B11" t="s">
        <v>303</v>
      </c>
      <c r="C11">
        <v>79</v>
      </c>
      <c r="D11" s="5">
        <v>-848.64</v>
      </c>
      <c r="E11" s="5">
        <v>-848.64</v>
      </c>
    </row>
    <row r="12" spans="1:6" x14ac:dyDescent="0.3">
      <c r="B12" t="s">
        <v>303</v>
      </c>
      <c r="C12">
        <v>87</v>
      </c>
      <c r="D12" s="5">
        <v>-2368.04</v>
      </c>
      <c r="E12" s="5">
        <v>-2368.04</v>
      </c>
    </row>
    <row r="13" spans="1:6" x14ac:dyDescent="0.3">
      <c r="B13" t="s">
        <v>303</v>
      </c>
      <c r="C13">
        <v>88</v>
      </c>
      <c r="D13" s="5">
        <v>-1531.81</v>
      </c>
      <c r="E13" s="5">
        <v>-1531.81</v>
      </c>
    </row>
    <row r="14" spans="1:6" x14ac:dyDescent="0.3">
      <c r="B14" t="s">
        <v>303</v>
      </c>
      <c r="C14">
        <v>94</v>
      </c>
      <c r="D14" s="5">
        <v>-1541.24</v>
      </c>
      <c r="E14" s="5">
        <v>-1541.24</v>
      </c>
    </row>
    <row r="15" spans="1:6" x14ac:dyDescent="0.3">
      <c r="B15" t="s">
        <v>303</v>
      </c>
      <c r="C15">
        <v>95</v>
      </c>
      <c r="D15" s="5">
        <v>-1815.82</v>
      </c>
      <c r="E15" s="5">
        <v>-1815.82</v>
      </c>
      <c r="F15" s="5">
        <f>SUM(E9:E15)</f>
        <v>-13327.11</v>
      </c>
    </row>
    <row r="16" spans="1:6" x14ac:dyDescent="0.3">
      <c r="B16" t="s">
        <v>300</v>
      </c>
      <c r="C16">
        <v>89</v>
      </c>
      <c r="D16" s="5">
        <v>-1217.94</v>
      </c>
      <c r="E16" s="5">
        <v>-1217.94</v>
      </c>
    </row>
    <row r="17" spans="1:5" x14ac:dyDescent="0.3">
      <c r="B17" t="s">
        <v>300</v>
      </c>
      <c r="C17">
        <v>126</v>
      </c>
      <c r="D17" s="5">
        <v>-778.62</v>
      </c>
      <c r="E17" s="5">
        <v>-778.62</v>
      </c>
    </row>
    <row r="18" spans="1:5" x14ac:dyDescent="0.3">
      <c r="B18" t="s">
        <v>300</v>
      </c>
      <c r="C18">
        <v>135</v>
      </c>
      <c r="D18" s="5">
        <v>-6407.16</v>
      </c>
      <c r="E18" s="5">
        <v>-6407.16</v>
      </c>
    </row>
    <row r="19" spans="1:5" x14ac:dyDescent="0.3">
      <c r="B19" t="s">
        <v>300</v>
      </c>
      <c r="C19">
        <v>136</v>
      </c>
      <c r="D19" s="5">
        <v>-675</v>
      </c>
      <c r="E19" s="5">
        <v>-675</v>
      </c>
    </row>
    <row r="20" spans="1:5" x14ac:dyDescent="0.3">
      <c r="B20" t="s">
        <v>300</v>
      </c>
      <c r="C20">
        <v>139</v>
      </c>
      <c r="D20" s="5">
        <v>-627.34</v>
      </c>
      <c r="E20" s="5">
        <v>-627.34</v>
      </c>
    </row>
    <row r="21" spans="1:5" x14ac:dyDescent="0.3">
      <c r="B21" t="s">
        <v>300</v>
      </c>
      <c r="C21">
        <v>154</v>
      </c>
      <c r="D21" s="5">
        <v>-15792</v>
      </c>
      <c r="E21" s="5">
        <v>-15792</v>
      </c>
    </row>
    <row r="22" spans="1:5" x14ac:dyDescent="0.3">
      <c r="B22" t="s">
        <v>300</v>
      </c>
      <c r="C22">
        <v>174</v>
      </c>
      <c r="D22" s="5">
        <v>-627.91</v>
      </c>
      <c r="E22" s="5">
        <v>-627.91</v>
      </c>
    </row>
    <row r="23" spans="1:5" x14ac:dyDescent="0.3">
      <c r="B23" t="s">
        <v>300</v>
      </c>
      <c r="C23">
        <v>205</v>
      </c>
      <c r="D23" s="5">
        <v>-530</v>
      </c>
      <c r="E23" s="5">
        <v>-530</v>
      </c>
    </row>
    <row r="24" spans="1:5" x14ac:dyDescent="0.3">
      <c r="B24" t="s">
        <v>300</v>
      </c>
      <c r="C24">
        <v>357</v>
      </c>
      <c r="D24" s="5">
        <v>-1022.86</v>
      </c>
      <c r="E24" s="5">
        <v>-238.67</v>
      </c>
    </row>
    <row r="25" spans="1:5" x14ac:dyDescent="0.3">
      <c r="B25" t="s">
        <v>300</v>
      </c>
      <c r="C25">
        <v>370</v>
      </c>
      <c r="D25" s="5">
        <v>-829.2</v>
      </c>
      <c r="E25" s="5">
        <v>-115.16</v>
      </c>
    </row>
    <row r="26" spans="1:5" x14ac:dyDescent="0.3">
      <c r="D26" s="52">
        <f>SUM(D7:D25)</f>
        <v>82452.94</v>
      </c>
      <c r="E26" s="52">
        <f>SUM(E7:E25)</f>
        <v>64860.75</v>
      </c>
    </row>
    <row r="27" spans="1:5" x14ac:dyDescent="0.3">
      <c r="D27" s="5"/>
      <c r="E27" s="5"/>
    </row>
    <row r="28" spans="1:5" x14ac:dyDescent="0.3">
      <c r="A28" t="s">
        <v>298</v>
      </c>
      <c r="B28" t="s">
        <v>304</v>
      </c>
      <c r="D28" s="5">
        <v>157186.48000000001</v>
      </c>
      <c r="E28" s="5">
        <f>58740.51</f>
        <v>58740.51</v>
      </c>
    </row>
    <row r="29" spans="1:5" x14ac:dyDescent="0.3">
      <c r="A29" t="s">
        <v>306</v>
      </c>
      <c r="B29" t="s">
        <v>304</v>
      </c>
      <c r="D29" s="5"/>
      <c r="E29" s="5">
        <v>1135.73</v>
      </c>
    </row>
    <row r="30" spans="1:5" x14ac:dyDescent="0.3">
      <c r="A30" t="s">
        <v>297</v>
      </c>
      <c r="B30" t="s">
        <v>302</v>
      </c>
      <c r="C30">
        <v>135</v>
      </c>
      <c r="D30" s="5">
        <v>6407.16</v>
      </c>
      <c r="E30" s="5">
        <v>6407.16</v>
      </c>
    </row>
    <row r="31" spans="1:5" x14ac:dyDescent="0.3">
      <c r="B31" t="s">
        <v>302</v>
      </c>
      <c r="C31">
        <v>370</v>
      </c>
      <c r="D31" s="5">
        <v>829.2</v>
      </c>
      <c r="E31" s="5">
        <v>115.16</v>
      </c>
    </row>
    <row r="32" spans="1:5" x14ac:dyDescent="0.3">
      <c r="B32" t="s">
        <v>305</v>
      </c>
      <c r="C32">
        <v>386</v>
      </c>
      <c r="D32" s="5">
        <v>2556.75</v>
      </c>
      <c r="E32" s="5">
        <v>0</v>
      </c>
    </row>
    <row r="33" spans="1:5" x14ac:dyDescent="0.3">
      <c r="D33" s="52">
        <f>SUM(D28:D32)</f>
        <v>166979.59000000003</v>
      </c>
      <c r="E33" s="52">
        <f>SUM(E28:E32)</f>
        <v>66398.560000000012</v>
      </c>
    </row>
    <row r="34" spans="1:5" x14ac:dyDescent="0.3">
      <c r="D34" s="5"/>
      <c r="E34" s="5"/>
    </row>
    <row r="35" spans="1:5" x14ac:dyDescent="0.3">
      <c r="A35" t="s">
        <v>298</v>
      </c>
      <c r="B35" t="s">
        <v>299</v>
      </c>
      <c r="D35" s="5">
        <v>133593.94</v>
      </c>
      <c r="E35" s="5">
        <v>106074.57</v>
      </c>
    </row>
    <row r="36" spans="1:5" x14ac:dyDescent="0.3">
      <c r="A36" t="s">
        <v>306</v>
      </c>
      <c r="B36" t="s">
        <v>299</v>
      </c>
      <c r="D36" s="5"/>
      <c r="E36" s="5">
        <v>1224.3699999999999</v>
      </c>
    </row>
    <row r="37" spans="1:5" x14ac:dyDescent="0.3">
      <c r="A37" t="s">
        <v>297</v>
      </c>
      <c r="B37" t="s">
        <v>301</v>
      </c>
      <c r="C37">
        <v>89</v>
      </c>
      <c r="D37" s="5">
        <v>1217.94</v>
      </c>
      <c r="E37" s="5">
        <v>1217.94</v>
      </c>
    </row>
    <row r="38" spans="1:5" x14ac:dyDescent="0.3">
      <c r="B38" t="s">
        <v>301</v>
      </c>
      <c r="C38">
        <v>126</v>
      </c>
      <c r="D38" s="5">
        <v>778.62</v>
      </c>
      <c r="E38" s="5">
        <v>778.62</v>
      </c>
    </row>
    <row r="39" spans="1:5" x14ac:dyDescent="0.3">
      <c r="B39" t="s">
        <v>301</v>
      </c>
      <c r="C39">
        <v>136</v>
      </c>
      <c r="D39" s="5">
        <v>675</v>
      </c>
      <c r="E39" s="5">
        <v>675</v>
      </c>
    </row>
    <row r="40" spans="1:5" x14ac:dyDescent="0.3">
      <c r="B40" t="s">
        <v>301</v>
      </c>
      <c r="C40">
        <v>139</v>
      </c>
      <c r="D40" s="5">
        <v>627.34</v>
      </c>
      <c r="E40" s="5">
        <v>627.34</v>
      </c>
    </row>
    <row r="41" spans="1:5" x14ac:dyDescent="0.3">
      <c r="B41" t="s">
        <v>301</v>
      </c>
      <c r="C41">
        <v>154</v>
      </c>
      <c r="D41" s="5">
        <v>15792</v>
      </c>
      <c r="E41" s="5">
        <v>15792</v>
      </c>
    </row>
    <row r="42" spans="1:5" x14ac:dyDescent="0.3">
      <c r="B42" t="s">
        <v>301</v>
      </c>
      <c r="C42">
        <v>174</v>
      </c>
      <c r="D42" s="5">
        <v>627.91</v>
      </c>
      <c r="E42" s="5">
        <v>627.91</v>
      </c>
    </row>
    <row r="43" spans="1:5" x14ac:dyDescent="0.3">
      <c r="B43" t="s">
        <v>301</v>
      </c>
      <c r="C43">
        <v>205</v>
      </c>
      <c r="D43" s="5">
        <v>530</v>
      </c>
      <c r="E43" s="5">
        <v>530</v>
      </c>
    </row>
    <row r="44" spans="1:5" x14ac:dyDescent="0.3">
      <c r="B44" t="s">
        <v>301</v>
      </c>
      <c r="C44">
        <v>357</v>
      </c>
      <c r="D44" s="5">
        <v>1022.86</v>
      </c>
      <c r="E44" s="5">
        <v>238.67</v>
      </c>
    </row>
    <row r="45" spans="1:5" x14ac:dyDescent="0.3">
      <c r="D45" s="52">
        <f>SUM(D35:D44)</f>
        <v>154865.60999999999</v>
      </c>
      <c r="E45" s="52">
        <f>SUM(E35:E44)</f>
        <v>127786.42</v>
      </c>
    </row>
    <row r="47" spans="1:5" x14ac:dyDescent="0.3">
      <c r="A47" t="s">
        <v>298</v>
      </c>
      <c r="B47" t="s">
        <v>307</v>
      </c>
      <c r="D47" s="5">
        <v>2814540.04</v>
      </c>
      <c r="E47" s="5">
        <v>1570284.36</v>
      </c>
    </row>
    <row r="48" spans="1:5" x14ac:dyDescent="0.3">
      <c r="A48" t="s">
        <v>306</v>
      </c>
      <c r="B48" t="s">
        <v>307</v>
      </c>
      <c r="E48" s="5">
        <v>17773.28</v>
      </c>
    </row>
    <row r="49" spans="1:5" x14ac:dyDescent="0.3">
      <c r="A49" t="s">
        <v>297</v>
      </c>
      <c r="B49" t="s">
        <v>309</v>
      </c>
      <c r="C49">
        <v>197</v>
      </c>
      <c r="D49">
        <v>-751.53</v>
      </c>
      <c r="E49" s="5">
        <v>-225.45</v>
      </c>
    </row>
    <row r="50" spans="1:5" x14ac:dyDescent="0.3">
      <c r="B50" t="s">
        <v>308</v>
      </c>
      <c r="C50">
        <v>383</v>
      </c>
      <c r="D50" s="5">
        <v>5225.88</v>
      </c>
      <c r="E50" s="5">
        <v>0</v>
      </c>
    </row>
    <row r="51" spans="1:5" x14ac:dyDescent="0.3">
      <c r="B51" t="s">
        <v>308</v>
      </c>
      <c r="C51">
        <v>384</v>
      </c>
      <c r="D51" s="5">
        <v>845</v>
      </c>
      <c r="E51" s="5">
        <v>0</v>
      </c>
    </row>
    <row r="52" spans="1:5" x14ac:dyDescent="0.3">
      <c r="B52" t="s">
        <v>308</v>
      </c>
      <c r="C52">
        <v>385</v>
      </c>
      <c r="D52" s="5">
        <v>4239.99</v>
      </c>
      <c r="E52" s="5">
        <v>0</v>
      </c>
    </row>
    <row r="53" spans="1:5" x14ac:dyDescent="0.3">
      <c r="D53" s="52">
        <f>SUM(D47:D52)</f>
        <v>2824099.3800000004</v>
      </c>
      <c r="E53" s="52">
        <f>SUM(E47:E52)</f>
        <v>1587832.1900000002</v>
      </c>
    </row>
    <row r="55" spans="1:5" x14ac:dyDescent="0.3">
      <c r="A55" t="s">
        <v>298</v>
      </c>
      <c r="B55" t="s">
        <v>310</v>
      </c>
      <c r="D55" s="5">
        <v>227943.2</v>
      </c>
      <c r="E55" s="5">
        <v>227943.2</v>
      </c>
    </row>
    <row r="56" spans="1:5" x14ac:dyDescent="0.3">
      <c r="A56" t="s">
        <v>306</v>
      </c>
      <c r="B56" t="s">
        <v>310</v>
      </c>
      <c r="E56" s="5">
        <v>0</v>
      </c>
    </row>
    <row r="57" spans="1:5" x14ac:dyDescent="0.3">
      <c r="D57" s="52">
        <f>SUM(D55:D56)</f>
        <v>227943.2</v>
      </c>
      <c r="E57" s="52">
        <f>SUM(E55:E56)</f>
        <v>227943.2</v>
      </c>
    </row>
    <row r="59" spans="1:5" x14ac:dyDescent="0.3">
      <c r="A59" t="s">
        <v>298</v>
      </c>
      <c r="B59" t="s">
        <v>311</v>
      </c>
      <c r="D59" s="51">
        <f>+D57+D53+D45+D33+D26</f>
        <v>3456340.72</v>
      </c>
      <c r="E59" s="51">
        <f>+E57+E53+E45+E33+E26</f>
        <v>2074821.12</v>
      </c>
    </row>
  </sheetData>
  <sortState xmlns:xlrd2="http://schemas.microsoft.com/office/spreadsheetml/2017/richdata2" ref="B30:G31">
    <sortCondition ref="C30:C31"/>
  </sortState>
  <pageMargins left="0.45" right="0.2" top="0.75" bottom="0.75" header="0.3" footer="0.3"/>
  <pageSetup orientation="portrait" r:id="rId1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5"/>
  <sheetViews>
    <sheetView topLeftCell="A10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1.33203125" customWidth="1"/>
    <col min="5" max="5" width="15.88671875" customWidth="1"/>
    <col min="6" max="6" width="8.886718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217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42461</v>
      </c>
      <c r="C6" s="4" t="s">
        <v>10</v>
      </c>
      <c r="D6" s="4" t="s">
        <v>11</v>
      </c>
      <c r="E6" s="24">
        <v>42825</v>
      </c>
    </row>
    <row r="7" spans="1:6" x14ac:dyDescent="0.3">
      <c r="B7" s="2"/>
      <c r="C7" s="1"/>
      <c r="D7" s="1"/>
      <c r="E7" s="2"/>
    </row>
    <row r="8" spans="1:6" x14ac:dyDescent="0.3">
      <c r="A8" t="s">
        <v>20</v>
      </c>
      <c r="B8" s="5">
        <v>238615.96</v>
      </c>
      <c r="C8" s="5">
        <f>+'Office &amp; Computer Equip'!F57</f>
        <v>18127.190000000002</v>
      </c>
      <c r="D8" s="5">
        <f>-1710.7-1744.92</f>
        <v>-3455.62</v>
      </c>
      <c r="E8" s="5">
        <f>SUM(B8:D8)</f>
        <v>253287.53</v>
      </c>
      <c r="F8" s="8" t="s">
        <v>17</v>
      </c>
    </row>
    <row r="9" spans="1:6" x14ac:dyDescent="0.3">
      <c r="A9" t="s">
        <v>2</v>
      </c>
      <c r="B9" s="5">
        <v>97296.61</v>
      </c>
      <c r="C9" s="5">
        <f>+'F&amp;F'!E20</f>
        <v>54267.969999999994</v>
      </c>
      <c r="D9" s="5"/>
      <c r="E9" s="5">
        <f t="shared" ref="E9:E14" si="0">SUM(B9:D9)</f>
        <v>151564.57999999999</v>
      </c>
      <c r="F9" s="8" t="s">
        <v>17</v>
      </c>
    </row>
    <row r="10" spans="1:6" x14ac:dyDescent="0.3">
      <c r="A10" t="s">
        <v>3</v>
      </c>
      <c r="B10" s="5">
        <f>+'FY 2014 2015'!E10</f>
        <v>0</v>
      </c>
      <c r="C10" s="5"/>
      <c r="D10" s="5"/>
      <c r="E10" s="5">
        <f t="shared" si="0"/>
        <v>0</v>
      </c>
    </row>
    <row r="11" spans="1:6" x14ac:dyDescent="0.3">
      <c r="A11" t="s">
        <v>4</v>
      </c>
      <c r="B11" s="5">
        <f>+'FY 2014 2015'!E11</f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5</v>
      </c>
      <c r="B12" s="5">
        <v>2809365.04</v>
      </c>
      <c r="C12" s="5"/>
      <c r="D12" s="5"/>
      <c r="E12" s="5">
        <f t="shared" si="0"/>
        <v>2809365.04</v>
      </c>
      <c r="F12" s="8" t="s">
        <v>17</v>
      </c>
    </row>
    <row r="13" spans="1:6" x14ac:dyDescent="0.3">
      <c r="A13" t="s">
        <v>6</v>
      </c>
      <c r="B13" s="5">
        <v>0</v>
      </c>
      <c r="C13" s="5"/>
      <c r="D13" s="5"/>
      <c r="E13" s="5">
        <f t="shared" si="0"/>
        <v>0</v>
      </c>
    </row>
    <row r="14" spans="1:6" x14ac:dyDescent="0.3">
      <c r="A14" t="s">
        <v>7</v>
      </c>
      <c r="B14" s="5">
        <v>0</v>
      </c>
      <c r="C14" s="5"/>
      <c r="D14" s="5"/>
      <c r="E14" s="5">
        <f t="shared" si="0"/>
        <v>0</v>
      </c>
    </row>
    <row r="15" spans="1:6" x14ac:dyDescent="0.3">
      <c r="B15" s="6">
        <f>SUM(B8:B14)</f>
        <v>3373220.81</v>
      </c>
      <c r="C15" s="6">
        <f t="shared" ref="C15:E15" si="1">SUM(C8:C14)</f>
        <v>72395.16</v>
      </c>
      <c r="D15" s="6">
        <f t="shared" si="1"/>
        <v>-3455.62</v>
      </c>
      <c r="E15" s="6">
        <f t="shared" si="1"/>
        <v>3442160.35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218</v>
      </c>
      <c r="C19" s="4" t="s">
        <v>10</v>
      </c>
      <c r="D19" s="4" t="s">
        <v>11</v>
      </c>
      <c r="E19" s="24">
        <v>42825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v>-180804.46</v>
      </c>
      <c r="C21" s="5">
        <f>-1297.98-1513.62-1280.35-1513.61-1316.05-1513.63-1449.34-1120.49-1518.74-1120.52-1518.76-1120.52-1518.76-1120.49-1518.75-1120.52-1426.6-1140.95-1426.59-1140.98-1378.57-1140.96-36.94-1251.18-1140.97</f>
        <v>-31645.87</v>
      </c>
      <c r="D21" s="5">
        <f>1710.7+775.52</f>
        <v>2486.2200000000003</v>
      </c>
      <c r="E21" s="5">
        <f>SUM(B21:D21)</f>
        <v>-209964.11</v>
      </c>
      <c r="F21" s="8" t="s">
        <v>17</v>
      </c>
    </row>
    <row r="22" spans="1:6" x14ac:dyDescent="0.3">
      <c r="A22" t="s">
        <v>37</v>
      </c>
      <c r="B22" s="5">
        <v>-47024.52</v>
      </c>
      <c r="C22" s="5">
        <f>-622.11-177.88-799.99-972.93-988.45-988.47-11.87-1009.36-1009.33-1009.37-1009.38-1038.94-1038.95-1038.95</f>
        <v>-11715.980000000001</v>
      </c>
      <c r="D22" s="5"/>
      <c r="E22" s="5">
        <f t="shared" ref="E22:E26" si="2">SUM(B22:D22)</f>
        <v>-58740.5</v>
      </c>
      <c r="F22" s="8" t="s">
        <v>17</v>
      </c>
    </row>
    <row r="23" spans="1:6" x14ac:dyDescent="0.3">
      <c r="A23" t="s">
        <v>3</v>
      </c>
      <c r="B23" s="5">
        <f>+'FY 2014 2015'!E23</f>
        <v>0</v>
      </c>
      <c r="C23" s="5"/>
      <c r="D23" s="5"/>
      <c r="E23" s="5">
        <f t="shared" si="2"/>
        <v>0</v>
      </c>
    </row>
    <row r="24" spans="1:6" x14ac:dyDescent="0.3">
      <c r="A24" t="s">
        <v>38</v>
      </c>
      <c r="B24" s="5">
        <f>+'FY 2014 2015'!E24</f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v>-1351882.02</v>
      </c>
      <c r="C25" s="5">
        <f>-18200.27-18200.2-18200.26-18200.23-18200.24-18200.23-18200.25-18200.2-18200.29-18200.21-18200.26-18199.68</f>
        <v>-218402.32</v>
      </c>
      <c r="D25" s="5"/>
      <c r="E25" s="5">
        <f t="shared" si="2"/>
        <v>-1570284.34</v>
      </c>
      <c r="F25" s="8" t="s">
        <v>17</v>
      </c>
    </row>
    <row r="26" spans="1:6" x14ac:dyDescent="0.3">
      <c r="A26" t="s">
        <v>40</v>
      </c>
      <c r="B26" s="5">
        <v>0</v>
      </c>
      <c r="C26" s="5"/>
      <c r="D26" s="5"/>
      <c r="E26" s="5">
        <f t="shared" si="2"/>
        <v>0</v>
      </c>
    </row>
    <row r="27" spans="1:6" x14ac:dyDescent="0.3">
      <c r="B27" s="6">
        <f>SUM(B21:B26)</f>
        <v>-1807654.2</v>
      </c>
      <c r="C27" s="6">
        <f>SUM(C21:C26)</f>
        <v>-261764.17</v>
      </c>
      <c r="D27" s="6">
        <f>SUM(D21:D26)</f>
        <v>2486.2200000000003</v>
      </c>
      <c r="E27" s="6">
        <f>SUM(E21:E26)</f>
        <v>-2066932.1500000001</v>
      </c>
    </row>
    <row r="29" spans="1:6" ht="15" thickBot="1" x14ac:dyDescent="0.35">
      <c r="A29" s="7" t="s">
        <v>16</v>
      </c>
      <c r="B29" s="10">
        <f>+B15+B27</f>
        <v>1565566.61</v>
      </c>
      <c r="C29" s="10">
        <f>+C15+C27</f>
        <v>-189369.01</v>
      </c>
      <c r="D29" s="10">
        <f>+D15+D27</f>
        <v>-969.39999999999964</v>
      </c>
      <c r="E29" s="20">
        <f>+E15+E27</f>
        <v>1375228.2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224</v>
      </c>
    </row>
    <row r="35" spans="1:1" x14ac:dyDescent="0.3">
      <c r="A35" s="9" t="s"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"/>
  <sheetViews>
    <sheetView workbookViewId="0"/>
  </sheetViews>
  <sheetFormatPr defaultRowHeight="14.4" x14ac:dyDescent="0.3"/>
  <cols>
    <col min="1" max="1" width="4.44140625" customWidth="1"/>
    <col min="2" max="2" width="23.88671875" customWidth="1"/>
    <col min="3" max="4" width="9.109375" bestFit="1" customWidth="1"/>
    <col min="5" max="5" width="12.33203125" customWidth="1"/>
  </cols>
  <sheetData>
    <row r="1" spans="1:5" x14ac:dyDescent="0.3">
      <c r="A1" s="11" t="str">
        <f>'FY 2024 2025'!$A$1</f>
        <v>AA Inc</v>
      </c>
    </row>
    <row r="2" spans="1:5" x14ac:dyDescent="0.3">
      <c r="A2" t="s">
        <v>225</v>
      </c>
    </row>
    <row r="3" spans="1:5" x14ac:dyDescent="0.3">
      <c r="A3" t="s">
        <v>226</v>
      </c>
    </row>
    <row r="5" spans="1:5" x14ac:dyDescent="0.3">
      <c r="A5" s="48" t="s">
        <v>227</v>
      </c>
      <c r="B5" t="s">
        <v>228</v>
      </c>
      <c r="E5" s="22">
        <v>42490</v>
      </c>
    </row>
    <row r="7" spans="1:5" x14ac:dyDescent="0.3">
      <c r="B7" s="28" t="s">
        <v>229</v>
      </c>
      <c r="C7" s="25"/>
      <c r="D7" s="25"/>
      <c r="E7" s="29"/>
    </row>
    <row r="8" spans="1:5" x14ac:dyDescent="0.3">
      <c r="B8" s="30" t="s">
        <v>104</v>
      </c>
      <c r="C8" s="5">
        <v>1710.7</v>
      </c>
      <c r="D8" s="5"/>
      <c r="E8" s="31" t="s">
        <v>116</v>
      </c>
    </row>
    <row r="9" spans="1:5" x14ac:dyDescent="0.3">
      <c r="B9" s="30" t="s">
        <v>105</v>
      </c>
      <c r="C9" s="5"/>
      <c r="D9" s="5">
        <v>1710.7</v>
      </c>
      <c r="E9" s="31" t="s">
        <v>32</v>
      </c>
    </row>
    <row r="10" spans="1:5" x14ac:dyDescent="0.3">
      <c r="B10" s="32"/>
      <c r="C10" s="33"/>
      <c r="D10" s="33"/>
      <c r="E10" s="34"/>
    </row>
    <row r="13" spans="1:5" x14ac:dyDescent="0.3">
      <c r="A13" s="48" t="s">
        <v>230</v>
      </c>
      <c r="B13" t="s">
        <v>231</v>
      </c>
      <c r="E13" s="22">
        <v>42490</v>
      </c>
    </row>
    <row r="15" spans="1:5" x14ac:dyDescent="0.3">
      <c r="B15" s="28" t="s">
        <v>251</v>
      </c>
      <c r="C15" s="25"/>
      <c r="D15" s="25"/>
      <c r="E15" s="29"/>
    </row>
    <row r="16" spans="1:5" x14ac:dyDescent="0.3">
      <c r="B16" s="30" t="s">
        <v>104</v>
      </c>
      <c r="C16" s="5">
        <v>775.52</v>
      </c>
      <c r="D16" s="5"/>
      <c r="E16" s="31" t="s">
        <v>116</v>
      </c>
    </row>
    <row r="17" spans="2:5" x14ac:dyDescent="0.3">
      <c r="B17" s="30" t="s">
        <v>105</v>
      </c>
      <c r="C17" s="5"/>
      <c r="D17" s="5">
        <v>1744.92</v>
      </c>
      <c r="E17" s="31" t="s">
        <v>32</v>
      </c>
    </row>
    <row r="18" spans="2:5" x14ac:dyDescent="0.3">
      <c r="B18" s="32" t="s">
        <v>136</v>
      </c>
      <c r="C18" s="33">
        <f>+D17-C16</f>
        <v>969.40000000000009</v>
      </c>
      <c r="D18" s="33"/>
      <c r="E18" s="34" t="s">
        <v>232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6"/>
  <sheetViews>
    <sheetView topLeftCell="A13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1.33203125" customWidth="1"/>
    <col min="5" max="5" width="15.88671875" customWidth="1"/>
    <col min="6" max="6" width="8.886718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132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42095</v>
      </c>
      <c r="C6" s="4" t="s">
        <v>10</v>
      </c>
      <c r="D6" s="4" t="s">
        <v>11</v>
      </c>
      <c r="E6" s="24">
        <v>42460</v>
      </c>
    </row>
    <row r="7" spans="1:6" x14ac:dyDescent="0.3">
      <c r="B7" s="2"/>
      <c r="C7" s="1"/>
      <c r="D7" s="1"/>
      <c r="E7" s="2"/>
    </row>
    <row r="8" spans="1:6" x14ac:dyDescent="0.3">
      <c r="A8" t="s">
        <v>20</v>
      </c>
      <c r="B8" s="5">
        <f>+'FY 2014 2015'!E8</f>
        <v>214494.85</v>
      </c>
      <c r="C8" s="5">
        <f>+'Office &amp; Computer Equip'!F46</f>
        <v>24121.11</v>
      </c>
      <c r="D8" s="5"/>
      <c r="E8" s="5">
        <f>SUM(B8:D8)</f>
        <v>238615.96000000002</v>
      </c>
      <c r="F8" s="8" t="s">
        <v>17</v>
      </c>
    </row>
    <row r="9" spans="1:6" x14ac:dyDescent="0.3">
      <c r="A9" t="s">
        <v>2</v>
      </c>
      <c r="B9" s="5">
        <f>+'FY 2014 2015'!E9</f>
        <v>94298.11</v>
      </c>
      <c r="C9" s="5">
        <f>+'F&amp;F'!E12</f>
        <v>2998.5</v>
      </c>
      <c r="D9" s="5"/>
      <c r="E9" s="5">
        <f t="shared" ref="E9:E14" si="0">SUM(B9:D9)</f>
        <v>97296.61</v>
      </c>
      <c r="F9" s="8" t="s">
        <v>17</v>
      </c>
    </row>
    <row r="10" spans="1:6" x14ac:dyDescent="0.3">
      <c r="A10" t="s">
        <v>3</v>
      </c>
      <c r="B10" s="5">
        <f>+'FY 2014 2015'!E10</f>
        <v>0</v>
      </c>
      <c r="C10" s="5"/>
      <c r="D10" s="5"/>
      <c r="E10" s="5">
        <f t="shared" si="0"/>
        <v>0</v>
      </c>
      <c r="F10" s="8" t="s">
        <v>17</v>
      </c>
    </row>
    <row r="11" spans="1:6" x14ac:dyDescent="0.3">
      <c r="A11" t="s">
        <v>4</v>
      </c>
      <c r="B11" s="5">
        <f>+'FY 2014 2015'!E11</f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5</v>
      </c>
      <c r="B12" s="5">
        <f>+'FY 2014 2015'!E12</f>
        <v>2593867.19</v>
      </c>
      <c r="C12" s="5">
        <f>+'Plant Equip'!F37</f>
        <v>215497.85</v>
      </c>
      <c r="D12" s="5"/>
      <c r="E12" s="5">
        <f t="shared" si="0"/>
        <v>2809365.04</v>
      </c>
      <c r="F12" s="8" t="s">
        <v>17</v>
      </c>
    </row>
    <row r="13" spans="1:6" x14ac:dyDescent="0.3">
      <c r="A13" t="s">
        <v>6</v>
      </c>
      <c r="B13" s="5">
        <f>+'FY 2014 2015'!E13</f>
        <v>82196</v>
      </c>
      <c r="C13" s="5">
        <f>+Buildings!E10</f>
        <v>-82196</v>
      </c>
      <c r="D13" s="5"/>
      <c r="E13" s="5">
        <f t="shared" si="0"/>
        <v>0</v>
      </c>
      <c r="F13" s="8" t="s">
        <v>17</v>
      </c>
    </row>
    <row r="14" spans="1:6" x14ac:dyDescent="0.3">
      <c r="A14" t="s">
        <v>7</v>
      </c>
      <c r="B14" s="5">
        <f>+'FY 2014 2015'!E14</f>
        <v>128200</v>
      </c>
      <c r="C14" s="5">
        <f>+Land!E10</f>
        <v>-128200</v>
      </c>
      <c r="D14" s="5"/>
      <c r="E14" s="5">
        <f t="shared" si="0"/>
        <v>0</v>
      </c>
      <c r="F14" s="8" t="s">
        <v>17</v>
      </c>
    </row>
    <row r="15" spans="1:6" x14ac:dyDescent="0.3">
      <c r="B15" s="6">
        <f>SUM(B8:B14)</f>
        <v>3340999.35</v>
      </c>
      <c r="C15" s="6">
        <f t="shared" ref="C15:E15" si="1">SUM(C8:C14)</f>
        <v>32221.460000000021</v>
      </c>
      <c r="D15" s="6">
        <f t="shared" si="1"/>
        <v>0</v>
      </c>
      <c r="E15" s="6">
        <f t="shared" si="1"/>
        <v>3373220.81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24">
        <f>+B6</f>
        <v>42095</v>
      </c>
      <c r="C19" s="4" t="s">
        <v>10</v>
      </c>
      <c r="D19" s="4" t="s">
        <v>11</v>
      </c>
      <c r="E19" s="24">
        <f>+E6</f>
        <v>42460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f>+'FY 2014 2015'!E21</f>
        <v>-164456.85</v>
      </c>
      <c r="C21" s="5">
        <f>-2506.49-701.26-2316.32-701.27+555.53-2131.86-701.26-2131.86-701.25+13698.94-2110.19-886.11-2089.72-763.31+2822.43-1939.9-763.31-1953.89-763.32-1953.91-763.3-1326.48-1278.02-1184.21-1278.02-1201.23-1278.02</f>
        <v>-16347.61</v>
      </c>
      <c r="D21" s="5"/>
      <c r="E21" s="5">
        <f>SUM(B21:D21)</f>
        <v>-180804.46000000002</v>
      </c>
      <c r="F21" s="8" t="s">
        <v>17</v>
      </c>
    </row>
    <row r="22" spans="1:6" x14ac:dyDescent="0.3">
      <c r="A22" t="s">
        <v>37</v>
      </c>
      <c r="B22" s="5">
        <f>+'FY 2014 2015'!E22</f>
        <v>-39670.57</v>
      </c>
      <c r="C22" s="5">
        <f>-613.56-609.57-609.55-609.56-609.58-609.55-609.53-609.58-609.57-621.19-621.21-621.5</f>
        <v>-7353.95</v>
      </c>
      <c r="D22" s="5"/>
      <c r="E22" s="5">
        <f t="shared" ref="E22:E26" si="2">SUM(B22:D22)</f>
        <v>-47024.52</v>
      </c>
      <c r="F22" s="8" t="s">
        <v>17</v>
      </c>
    </row>
    <row r="23" spans="1:6" x14ac:dyDescent="0.3">
      <c r="A23" t="s">
        <v>3</v>
      </c>
      <c r="B23" s="5">
        <f>+'FY 2014 2015'!E23</f>
        <v>0</v>
      </c>
      <c r="C23" s="5"/>
      <c r="D23" s="5"/>
      <c r="E23" s="5">
        <f t="shared" si="2"/>
        <v>0</v>
      </c>
      <c r="F23" s="8" t="s">
        <v>17</v>
      </c>
    </row>
    <row r="24" spans="1:6" x14ac:dyDescent="0.3">
      <c r="A24" t="s">
        <v>38</v>
      </c>
      <c r="B24" s="5">
        <f>+'FY 2014 2015'!E24</f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f>+'FY 2014 2015'!E25</f>
        <v>-1135351.07</v>
      </c>
      <c r="C25" s="5">
        <f>-17131.93-17123.07-63.77-410.23-17704.51-18423.43-18420.44-18226.07-18216.53-61.01-18252.35-18242.09-18085.14-18085.25-18085.13</f>
        <v>-216530.95</v>
      </c>
      <c r="D25" s="5"/>
      <c r="E25" s="5">
        <f t="shared" si="2"/>
        <v>-1351882.02</v>
      </c>
      <c r="F25" s="8" t="s">
        <v>17</v>
      </c>
    </row>
    <row r="26" spans="1:6" x14ac:dyDescent="0.3">
      <c r="A26" t="s">
        <v>40</v>
      </c>
      <c r="B26" s="5">
        <f>+'FY 2014 2015'!E26</f>
        <v>-5822.22</v>
      </c>
      <c r="C26" s="5">
        <f>-171.24-171.24-171.25-171.24-171.24+6678.43</f>
        <v>5822.22</v>
      </c>
      <c r="D26" s="5"/>
      <c r="E26" s="5">
        <f t="shared" si="2"/>
        <v>0</v>
      </c>
      <c r="F26" s="8" t="s">
        <v>17</v>
      </c>
    </row>
    <row r="27" spans="1:6" x14ac:dyDescent="0.3">
      <c r="B27" s="6">
        <f>SUM(B21:B26)</f>
        <v>-1573243.91</v>
      </c>
      <c r="C27" s="6">
        <f>SUM(C21:C26)</f>
        <v>-234410.29</v>
      </c>
      <c r="D27" s="6">
        <f>SUM(D21:D26)</f>
        <v>0</v>
      </c>
      <c r="E27" s="6">
        <f>SUM(E21:E26)</f>
        <v>-1807654.2000000002</v>
      </c>
    </row>
    <row r="29" spans="1:6" ht="15" thickBot="1" x14ac:dyDescent="0.35">
      <c r="A29" s="7" t="s">
        <v>16</v>
      </c>
      <c r="B29" s="10">
        <f>+B15+B27</f>
        <v>1767755.4400000002</v>
      </c>
      <c r="C29" s="10">
        <f>+C15+C27</f>
        <v>-202188.83</v>
      </c>
      <c r="D29" s="10">
        <f>+D15+D27</f>
        <v>0</v>
      </c>
      <c r="E29" s="20">
        <f>+E15+E27</f>
        <v>1565566.6099999999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44</v>
      </c>
    </row>
    <row r="35" spans="1:1" x14ac:dyDescent="0.3">
      <c r="A35" s="9" t="s">
        <v>42</v>
      </c>
    </row>
    <row r="36" spans="1:1" x14ac:dyDescent="0.3">
      <c r="A36" s="9" t="s">
        <v>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5"/>
  <sheetViews>
    <sheetView topLeftCell="A40" workbookViewId="0">
      <selection activeCell="A15" sqref="A15"/>
    </sheetView>
  </sheetViews>
  <sheetFormatPr defaultRowHeight="14.4" x14ac:dyDescent="0.3"/>
  <cols>
    <col min="1" max="1" width="23.5546875" customWidth="1"/>
    <col min="2" max="2" width="10.109375" bestFit="1" customWidth="1"/>
    <col min="3" max="3" width="11.88671875" customWidth="1"/>
    <col min="4" max="4" width="12.44140625" customWidth="1"/>
    <col min="5" max="5" width="12.6640625" customWidth="1"/>
    <col min="6" max="6" width="11.109375" bestFit="1" customWidth="1"/>
  </cols>
  <sheetData>
    <row r="1" spans="1:4" x14ac:dyDescent="0.3">
      <c r="A1" s="47" t="s">
        <v>198</v>
      </c>
    </row>
    <row r="3" spans="1:4" x14ac:dyDescent="0.3">
      <c r="A3" s="26" t="s">
        <v>144</v>
      </c>
    </row>
    <row r="4" spans="1:4" x14ac:dyDescent="0.3">
      <c r="A4" t="s">
        <v>133</v>
      </c>
    </row>
    <row r="5" spans="1:4" x14ac:dyDescent="0.3">
      <c r="A5" t="s">
        <v>745</v>
      </c>
    </row>
    <row r="6" spans="1:4" x14ac:dyDescent="0.3">
      <c r="A6" s="22"/>
    </row>
    <row r="7" spans="1:4" x14ac:dyDescent="0.3">
      <c r="A7" s="28" t="s">
        <v>145</v>
      </c>
      <c r="B7" s="25"/>
      <c r="C7" s="25"/>
      <c r="D7" s="29"/>
    </row>
    <row r="8" spans="1:4" x14ac:dyDescent="0.3">
      <c r="A8" s="30" t="s">
        <v>104</v>
      </c>
      <c r="B8" s="5">
        <v>555.53</v>
      </c>
      <c r="C8" s="5"/>
      <c r="D8" s="31" t="s">
        <v>116</v>
      </c>
    </row>
    <row r="9" spans="1:4" x14ac:dyDescent="0.3">
      <c r="A9" s="30" t="s">
        <v>105</v>
      </c>
      <c r="B9" s="5"/>
      <c r="C9" s="5">
        <v>609.74</v>
      </c>
      <c r="D9" s="31" t="s">
        <v>32</v>
      </c>
    </row>
    <row r="10" spans="1:4" x14ac:dyDescent="0.3">
      <c r="A10" s="32" t="s">
        <v>136</v>
      </c>
      <c r="B10" s="33">
        <f>+C9-B8</f>
        <v>54.210000000000036</v>
      </c>
      <c r="C10" s="33"/>
      <c r="D10" s="34" t="s">
        <v>135</v>
      </c>
    </row>
    <row r="12" spans="1:4" x14ac:dyDescent="0.3">
      <c r="A12" t="s">
        <v>746</v>
      </c>
    </row>
    <row r="13" spans="1:4" x14ac:dyDescent="0.3">
      <c r="A13" t="s">
        <v>134</v>
      </c>
    </row>
    <row r="14" spans="1:4" x14ac:dyDescent="0.3">
      <c r="A14" t="s">
        <v>747</v>
      </c>
    </row>
    <row r="16" spans="1:4" x14ac:dyDescent="0.3">
      <c r="A16" s="7" t="s">
        <v>139</v>
      </c>
      <c r="B16">
        <v>1612.41</v>
      </c>
      <c r="C16" t="s">
        <v>137</v>
      </c>
    </row>
    <row r="17" spans="1:5" x14ac:dyDescent="0.3">
      <c r="A17" s="7" t="s">
        <v>139</v>
      </c>
      <c r="B17">
        <v>609.74</v>
      </c>
      <c r="C17" t="s">
        <v>138</v>
      </c>
    </row>
    <row r="18" spans="1:5" x14ac:dyDescent="0.3">
      <c r="B18" s="25">
        <f>SUM(B16:B17)</f>
        <v>2222.15</v>
      </c>
    </row>
    <row r="19" spans="1:5" x14ac:dyDescent="0.3">
      <c r="A19" s="7" t="s">
        <v>140</v>
      </c>
      <c r="B19">
        <v>-1612.41</v>
      </c>
      <c r="C19" t="s">
        <v>141</v>
      </c>
    </row>
    <row r="20" spans="1:5" x14ac:dyDescent="0.3">
      <c r="B20" s="25">
        <f>SUM(B18:B19)</f>
        <v>609.74</v>
      </c>
      <c r="C20" t="s">
        <v>212</v>
      </c>
    </row>
    <row r="22" spans="1:5" x14ac:dyDescent="0.3">
      <c r="A22" s="26" t="s">
        <v>164</v>
      </c>
    </row>
    <row r="23" spans="1:5" x14ac:dyDescent="0.3">
      <c r="A23" s="27" t="s">
        <v>177</v>
      </c>
    </row>
    <row r="24" spans="1:5" x14ac:dyDescent="0.3">
      <c r="A24" t="s">
        <v>165</v>
      </c>
      <c r="D24" s="5">
        <v>506</v>
      </c>
      <c r="E24" s="35" t="s">
        <v>41</v>
      </c>
    </row>
    <row r="25" spans="1:5" x14ac:dyDescent="0.3">
      <c r="A25" t="s">
        <v>166</v>
      </c>
      <c r="D25" s="5">
        <v>653.88</v>
      </c>
      <c r="E25" s="35" t="s">
        <v>41</v>
      </c>
    </row>
    <row r="26" spans="1:5" x14ac:dyDescent="0.3">
      <c r="A26" t="s">
        <v>167</v>
      </c>
      <c r="D26" s="5">
        <v>700.7</v>
      </c>
      <c r="E26" s="35" t="s">
        <v>41</v>
      </c>
    </row>
    <row r="27" spans="1:5" x14ac:dyDescent="0.3">
      <c r="A27" t="s">
        <v>168</v>
      </c>
      <c r="D27" s="5">
        <v>1956.17</v>
      </c>
      <c r="E27" s="35" t="s">
        <v>41</v>
      </c>
    </row>
    <row r="28" spans="1:5" x14ac:dyDescent="0.3">
      <c r="A28" t="s">
        <v>169</v>
      </c>
      <c r="D28" s="5">
        <v>1066.4000000000001</v>
      </c>
      <c r="E28" s="35" t="s">
        <v>41</v>
      </c>
    </row>
    <row r="29" spans="1:5" x14ac:dyDescent="0.3">
      <c r="A29" t="s">
        <v>170</v>
      </c>
      <c r="D29" s="5">
        <v>2697.11</v>
      </c>
      <c r="E29" s="35" t="s">
        <v>41</v>
      </c>
    </row>
    <row r="30" spans="1:5" x14ac:dyDescent="0.3">
      <c r="A30" t="s">
        <v>171</v>
      </c>
      <c r="D30" s="5">
        <v>1330.77</v>
      </c>
      <c r="E30" s="35" t="s">
        <v>41</v>
      </c>
    </row>
    <row r="31" spans="1:5" x14ac:dyDescent="0.3">
      <c r="A31" t="s">
        <v>172</v>
      </c>
      <c r="D31" s="5">
        <v>1323.94</v>
      </c>
      <c r="E31" s="35" t="s">
        <v>41</v>
      </c>
    </row>
    <row r="32" spans="1:5" x14ac:dyDescent="0.3">
      <c r="A32" t="s">
        <v>173</v>
      </c>
      <c r="D32" s="5">
        <v>1942.98</v>
      </c>
      <c r="E32" s="35" t="s">
        <v>41</v>
      </c>
    </row>
    <row r="33" spans="1:7" x14ac:dyDescent="0.3">
      <c r="A33" t="s">
        <v>174</v>
      </c>
      <c r="D33" s="5">
        <v>1097</v>
      </c>
      <c r="E33" s="35" t="s">
        <v>41</v>
      </c>
    </row>
    <row r="35" spans="1:7" x14ac:dyDescent="0.3">
      <c r="A35" t="s">
        <v>175</v>
      </c>
      <c r="D35" s="5">
        <v>423.99</v>
      </c>
      <c r="E35" s="35" t="s">
        <v>41</v>
      </c>
    </row>
    <row r="37" spans="1:7" x14ac:dyDescent="0.3">
      <c r="A37" s="28" t="s">
        <v>176</v>
      </c>
      <c r="B37" s="25"/>
      <c r="C37" s="25"/>
      <c r="D37" s="29"/>
    </row>
    <row r="38" spans="1:7" x14ac:dyDescent="0.3">
      <c r="A38" s="30" t="s">
        <v>104</v>
      </c>
      <c r="B38" s="5">
        <f>SUM(D24:D35)</f>
        <v>13698.94</v>
      </c>
      <c r="C38" s="5"/>
      <c r="D38" s="31" t="s">
        <v>116</v>
      </c>
    </row>
    <row r="39" spans="1:7" x14ac:dyDescent="0.3">
      <c r="A39" s="32" t="s">
        <v>105</v>
      </c>
      <c r="B39" s="33"/>
      <c r="C39" s="33">
        <f>+B38</f>
        <v>13698.94</v>
      </c>
      <c r="D39" s="34" t="s">
        <v>32</v>
      </c>
    </row>
    <row r="42" spans="1:7" x14ac:dyDescent="0.3">
      <c r="A42" s="26" t="s">
        <v>180</v>
      </c>
    </row>
    <row r="43" spans="1:7" ht="15" thickBot="1" x14ac:dyDescent="0.35">
      <c r="A43" s="27" t="s">
        <v>201</v>
      </c>
    </row>
    <row r="44" spans="1:7" x14ac:dyDescent="0.3">
      <c r="A44" s="45" t="s">
        <v>181</v>
      </c>
      <c r="B44" s="36"/>
      <c r="C44" s="37"/>
      <c r="D44" s="37"/>
      <c r="E44" s="36"/>
      <c r="F44" s="36"/>
      <c r="G44" s="38"/>
    </row>
    <row r="45" spans="1:7" x14ac:dyDescent="0.3">
      <c r="A45" s="39" t="s">
        <v>182</v>
      </c>
      <c r="B45" t="s">
        <v>183</v>
      </c>
      <c r="C45" s="5">
        <v>277236.84999999998</v>
      </c>
      <c r="D45" s="5"/>
      <c r="E45" t="s">
        <v>184</v>
      </c>
      <c r="G45" s="40"/>
    </row>
    <row r="46" spans="1:7" x14ac:dyDescent="0.3">
      <c r="A46" s="39" t="s">
        <v>185</v>
      </c>
      <c r="B46" t="s">
        <v>186</v>
      </c>
      <c r="C46" s="5">
        <v>6678.43</v>
      </c>
      <c r="D46" s="5"/>
      <c r="E46" s="5" t="s">
        <v>104</v>
      </c>
      <c r="G46" s="40"/>
    </row>
    <row r="47" spans="1:7" x14ac:dyDescent="0.3">
      <c r="A47" s="39" t="s">
        <v>187</v>
      </c>
      <c r="B47" t="s">
        <v>188</v>
      </c>
      <c r="C47" s="5">
        <v>928.67</v>
      </c>
      <c r="D47" s="5"/>
      <c r="E47" t="s">
        <v>189</v>
      </c>
      <c r="G47" s="40"/>
    </row>
    <row r="48" spans="1:7" x14ac:dyDescent="0.3">
      <c r="A48" s="39" t="s">
        <v>7</v>
      </c>
      <c r="B48" t="s">
        <v>190</v>
      </c>
      <c r="C48" s="5"/>
      <c r="D48" s="5">
        <v>128200</v>
      </c>
      <c r="E48" t="s">
        <v>191</v>
      </c>
      <c r="G48" s="40"/>
    </row>
    <row r="49" spans="1:7" x14ac:dyDescent="0.3">
      <c r="A49" s="39" t="s">
        <v>6</v>
      </c>
      <c r="B49" t="s">
        <v>192</v>
      </c>
      <c r="C49" s="5"/>
      <c r="D49" s="5">
        <v>82196</v>
      </c>
      <c r="E49" t="s">
        <v>193</v>
      </c>
      <c r="G49" s="40"/>
    </row>
    <row r="50" spans="1:7" x14ac:dyDescent="0.3">
      <c r="A50" s="39" t="s">
        <v>194</v>
      </c>
      <c r="B50" t="s">
        <v>135</v>
      </c>
      <c r="C50" s="33"/>
      <c r="D50" s="33">
        <v>74447.95</v>
      </c>
      <c r="G50" s="40"/>
    </row>
    <row r="51" spans="1:7" x14ac:dyDescent="0.3">
      <c r="A51" s="39"/>
      <c r="C51" s="5"/>
      <c r="D51" s="5"/>
      <c r="G51" s="40"/>
    </row>
    <row r="52" spans="1:7" ht="15" thickBot="1" x14ac:dyDescent="0.35">
      <c r="A52" s="41"/>
      <c r="B52" s="42"/>
      <c r="C52" s="43">
        <f>SUM(C45:C50)</f>
        <v>284843.94999999995</v>
      </c>
      <c r="D52" s="43">
        <f>SUM(D45:D50)</f>
        <v>284843.95</v>
      </c>
      <c r="E52" s="42"/>
      <c r="F52" s="42"/>
      <c r="G52" s="44"/>
    </row>
    <row r="54" spans="1:7" x14ac:dyDescent="0.3">
      <c r="A54" t="s">
        <v>195</v>
      </c>
    </row>
    <row r="55" spans="1:7" x14ac:dyDescent="0.3">
      <c r="C55" s="5">
        <v>128200</v>
      </c>
      <c r="D55" s="5">
        <v>0.6</v>
      </c>
      <c r="E55" t="s">
        <v>196</v>
      </c>
      <c r="F55" s="5">
        <f>D55*277236.85</f>
        <v>166342.10999999999</v>
      </c>
    </row>
    <row r="56" spans="1:7" x14ac:dyDescent="0.3">
      <c r="C56" s="5">
        <v>82196</v>
      </c>
      <c r="D56" s="5">
        <v>0.4</v>
      </c>
      <c r="E56" t="s">
        <v>196</v>
      </c>
      <c r="F56" s="5">
        <f>D56*277236.85</f>
        <v>110894.73999999999</v>
      </c>
    </row>
    <row r="57" spans="1:7" x14ac:dyDescent="0.3">
      <c r="B57" s="5"/>
      <c r="C57" s="6">
        <f>SUM(C55:C56)</f>
        <v>210396</v>
      </c>
    </row>
    <row r="59" spans="1:7" x14ac:dyDescent="0.3">
      <c r="A59" s="26" t="s">
        <v>202</v>
      </c>
    </row>
    <row r="60" spans="1:7" x14ac:dyDescent="0.3">
      <c r="A60" s="27" t="s">
        <v>203</v>
      </c>
    </row>
    <row r="61" spans="1:7" x14ac:dyDescent="0.3">
      <c r="A61" t="s">
        <v>176</v>
      </c>
    </row>
    <row r="62" spans="1:7" x14ac:dyDescent="0.3">
      <c r="A62" t="s">
        <v>104</v>
      </c>
      <c r="B62" t="s">
        <v>116</v>
      </c>
      <c r="C62" s="5">
        <v>2822.43</v>
      </c>
      <c r="D62" s="5"/>
    </row>
    <row r="63" spans="1:7" x14ac:dyDescent="0.3">
      <c r="A63" t="s">
        <v>19</v>
      </c>
      <c r="B63" t="s">
        <v>32</v>
      </c>
      <c r="C63" s="5"/>
      <c r="D63" s="5">
        <v>2822.43</v>
      </c>
    </row>
    <row r="64" spans="1:7" x14ac:dyDescent="0.3">
      <c r="C64" s="5"/>
      <c r="D64" s="5"/>
    </row>
    <row r="65" spans="1:1" x14ac:dyDescent="0.3">
      <c r="A65" t="s">
        <v>204</v>
      </c>
    </row>
  </sheetData>
  <pageMargins left="0.45" right="0.2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6"/>
  <sheetViews>
    <sheetView topLeftCell="A10"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1.33203125" customWidth="1"/>
    <col min="5" max="5" width="15.88671875" customWidth="1"/>
    <col min="6" max="6" width="9.1093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46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24">
        <v>41730</v>
      </c>
      <c r="C6" s="4" t="s">
        <v>10</v>
      </c>
      <c r="D6" s="4" t="s">
        <v>11</v>
      </c>
      <c r="E6" s="24">
        <v>42094</v>
      </c>
    </row>
    <row r="7" spans="1:6" x14ac:dyDescent="0.3">
      <c r="B7" s="2"/>
      <c r="C7" s="1"/>
      <c r="D7" s="1"/>
      <c r="E7" s="2"/>
    </row>
    <row r="8" spans="1:6" x14ac:dyDescent="0.3">
      <c r="A8" t="s">
        <v>20</v>
      </c>
      <c r="B8" s="5">
        <v>183783.31</v>
      </c>
      <c r="C8" s="5">
        <f>+'Office &amp; Computer Equip'!F32</f>
        <v>30711.54</v>
      </c>
      <c r="D8" s="5"/>
      <c r="E8" s="5">
        <f>SUM(B8:D8)</f>
        <v>214494.85</v>
      </c>
      <c r="F8" s="8" t="s">
        <v>17</v>
      </c>
    </row>
    <row r="9" spans="1:6" x14ac:dyDescent="0.3">
      <c r="A9" t="s">
        <v>2</v>
      </c>
      <c r="B9" s="5">
        <v>90096.77</v>
      </c>
      <c r="C9" s="5">
        <f>+'F&amp;F'!E10</f>
        <v>4201.34</v>
      </c>
      <c r="D9" s="5"/>
      <c r="E9" s="5">
        <f t="shared" ref="E9:E14" si="0">SUM(B9:D9)</f>
        <v>94298.11</v>
      </c>
      <c r="F9" s="8" t="s">
        <v>17</v>
      </c>
    </row>
    <row r="10" spans="1:6" x14ac:dyDescent="0.3">
      <c r="A10" t="s">
        <v>3</v>
      </c>
      <c r="B10" s="5">
        <v>0</v>
      </c>
      <c r="C10" s="5"/>
      <c r="D10" s="5"/>
      <c r="E10" s="5">
        <f t="shared" si="0"/>
        <v>0</v>
      </c>
      <c r="F10" s="8" t="s">
        <v>17</v>
      </c>
    </row>
    <row r="11" spans="1:6" x14ac:dyDescent="0.3">
      <c r="A11" t="s">
        <v>4</v>
      </c>
      <c r="B11" s="5"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5</v>
      </c>
      <c r="B12" s="5">
        <v>1852488.44</v>
      </c>
      <c r="C12" s="5">
        <f>+'Plant Equip'!F20</f>
        <v>741378.75</v>
      </c>
      <c r="D12" s="5"/>
      <c r="E12" s="5">
        <f t="shared" si="0"/>
        <v>2593867.19</v>
      </c>
      <c r="F12" s="8" t="s">
        <v>17</v>
      </c>
    </row>
    <row r="13" spans="1:6" x14ac:dyDescent="0.3">
      <c r="A13" t="s">
        <v>6</v>
      </c>
      <c r="B13" s="5">
        <v>82196</v>
      </c>
      <c r="C13" s="5"/>
      <c r="D13" s="5"/>
      <c r="E13" s="5">
        <f t="shared" si="0"/>
        <v>82196</v>
      </c>
      <c r="F13" s="8" t="s">
        <v>17</v>
      </c>
    </row>
    <row r="14" spans="1:6" x14ac:dyDescent="0.3">
      <c r="A14" t="s">
        <v>7</v>
      </c>
      <c r="B14" s="5">
        <v>128200</v>
      </c>
      <c r="C14" s="5"/>
      <c r="D14" s="5"/>
      <c r="E14" s="5">
        <f t="shared" si="0"/>
        <v>128200</v>
      </c>
      <c r="F14" s="8" t="s">
        <v>17</v>
      </c>
    </row>
    <row r="15" spans="1:6" x14ac:dyDescent="0.3">
      <c r="B15" s="6">
        <f>SUM(B8:B14)</f>
        <v>2564707.7199999997</v>
      </c>
      <c r="C15" s="6">
        <f t="shared" ref="C15:E15" si="1">SUM(C8:C14)</f>
        <v>776291.63</v>
      </c>
      <c r="D15" s="6">
        <f t="shared" si="1"/>
        <v>0</v>
      </c>
      <c r="E15" s="6">
        <f t="shared" si="1"/>
        <v>3340999.35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47</v>
      </c>
      <c r="C19" s="4" t="s">
        <v>10</v>
      </c>
      <c r="D19" s="4" t="s">
        <v>11</v>
      </c>
      <c r="E19" s="3">
        <f>+E6</f>
        <v>42094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v>-124902</v>
      </c>
      <c r="C21" s="5">
        <f>-3068.87-3140.43-3333.35-2264.17-1092.75-2178.1-1092.76-2364.59-1193.98-2348.75-1153.74-2348.85-1153.74-2466.21-999.77-2466.35-845.2-9.53+628.58-2485.94-845.17-2485.99-845.19</f>
        <v>-39554.85</v>
      </c>
      <c r="D21" s="5"/>
      <c r="E21" s="5">
        <f>SUM(B21:D21)</f>
        <v>-164456.85</v>
      </c>
      <c r="F21" s="8" t="s">
        <v>17</v>
      </c>
    </row>
    <row r="22" spans="1:6" x14ac:dyDescent="0.3">
      <c r="A22" t="s">
        <v>37</v>
      </c>
      <c r="B22" s="5">
        <v>-31478.25</v>
      </c>
      <c r="C22" s="5">
        <f>-668.27-668.24-693.74-693.71-700.78-686.66-693.73-693.72-693.73-674.89-674.83-650.02</f>
        <v>-8192.32</v>
      </c>
      <c r="D22" s="5"/>
      <c r="E22" s="5">
        <f t="shared" ref="E22:E26" si="2">SUM(B22:D22)</f>
        <v>-39670.57</v>
      </c>
      <c r="F22" s="8" t="s">
        <v>17</v>
      </c>
    </row>
    <row r="23" spans="1:6" x14ac:dyDescent="0.3">
      <c r="A23" t="s">
        <v>3</v>
      </c>
      <c r="B23" s="5">
        <v>0</v>
      </c>
      <c r="C23" s="5"/>
      <c r="D23" s="5"/>
      <c r="E23" s="5">
        <f t="shared" si="2"/>
        <v>0</v>
      </c>
      <c r="F23" s="8" t="s">
        <v>17</v>
      </c>
    </row>
    <row r="24" spans="1:6" x14ac:dyDescent="0.3">
      <c r="A24" t="s">
        <v>38</v>
      </c>
      <c r="B24" s="5"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v>-941355.61</v>
      </c>
      <c r="C25" s="5">
        <f>-15089.2-14895.4-15120.7-15120.69-15128.11-15128.06-15212.31-15219.75-15219.77-15162.25-49.44-51.37-15305.51-6019.39-21501.41+227.9</f>
        <v>-193995.46000000002</v>
      </c>
      <c r="D25" s="5"/>
      <c r="E25" s="5">
        <f t="shared" si="2"/>
        <v>-1135351.07</v>
      </c>
      <c r="F25" s="8" t="s">
        <v>17</v>
      </c>
    </row>
    <row r="26" spans="1:6" x14ac:dyDescent="0.3">
      <c r="A26" t="s">
        <v>40</v>
      </c>
      <c r="B26" s="5">
        <v>-3767.32</v>
      </c>
      <c r="C26" s="5">
        <f>-171.24-171.24-171.25-171.24-171.24-171.24-171.24-171.24-171.25-171.24-171.24-171.24</f>
        <v>-2054.9</v>
      </c>
      <c r="D26" s="5"/>
      <c r="E26" s="5">
        <f t="shared" si="2"/>
        <v>-5822.22</v>
      </c>
      <c r="F26" s="8" t="s">
        <v>17</v>
      </c>
    </row>
    <row r="27" spans="1:6" x14ac:dyDescent="0.3">
      <c r="B27" s="6">
        <f>SUM(B21:B26)</f>
        <v>-1329446.3800000001</v>
      </c>
      <c r="C27" s="6">
        <f>SUM(C21:C26)</f>
        <v>-243797.53</v>
      </c>
      <c r="D27" s="6">
        <f>SUM(D21:D26)</f>
        <v>0</v>
      </c>
      <c r="E27" s="6">
        <f>SUM(E21:E26)</f>
        <v>-1573243.91</v>
      </c>
    </row>
    <row r="29" spans="1:6" ht="15" thickBot="1" x14ac:dyDescent="0.35">
      <c r="A29" s="7" t="s">
        <v>16</v>
      </c>
      <c r="B29" s="10">
        <f>+B15+B27</f>
        <v>1235261.3399999996</v>
      </c>
      <c r="C29" s="10">
        <f>+C15+C27</f>
        <v>532494.1</v>
      </c>
      <c r="D29" s="10">
        <f>+D15+D27</f>
        <v>0</v>
      </c>
      <c r="E29" s="20">
        <f>+E15+E27</f>
        <v>1767755.4400000002</v>
      </c>
      <c r="F29" s="21" t="s">
        <v>17</v>
      </c>
    </row>
    <row r="30" spans="1:6" ht="15" thickTop="1" x14ac:dyDescent="0.3">
      <c r="B30" s="8" t="s">
        <v>43</v>
      </c>
      <c r="E30" s="8"/>
      <c r="F30" s="9"/>
    </row>
    <row r="34" spans="1:1" x14ac:dyDescent="0.3">
      <c r="A34" s="9" t="s">
        <v>44</v>
      </c>
    </row>
    <row r="35" spans="1:1" x14ac:dyDescent="0.3">
      <c r="A35" s="9" t="s">
        <v>42</v>
      </c>
    </row>
    <row r="36" spans="1:1" x14ac:dyDescent="0.3">
      <c r="A36" s="9" t="s">
        <v>18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9"/>
  <sheetViews>
    <sheetView workbookViewId="0"/>
  </sheetViews>
  <sheetFormatPr defaultRowHeight="14.4" x14ac:dyDescent="0.3"/>
  <cols>
    <col min="1" max="1" width="18.5546875" customWidth="1"/>
    <col min="2" max="3" width="9.109375" bestFit="1" customWidth="1"/>
  </cols>
  <sheetData>
    <row r="1" spans="1:4" x14ac:dyDescent="0.3">
      <c r="A1" t="s">
        <v>128</v>
      </c>
    </row>
    <row r="3" spans="1:4" x14ac:dyDescent="0.3">
      <c r="A3" s="22">
        <v>42005</v>
      </c>
      <c r="B3" t="s">
        <v>103</v>
      </c>
    </row>
    <row r="4" spans="1:4" x14ac:dyDescent="0.3">
      <c r="A4" s="22"/>
    </row>
    <row r="5" spans="1:4" x14ac:dyDescent="0.3">
      <c r="A5" t="s">
        <v>107</v>
      </c>
      <c r="B5" s="5">
        <v>1632</v>
      </c>
      <c r="C5" s="5"/>
      <c r="D5" t="s">
        <v>118</v>
      </c>
    </row>
    <row r="6" spans="1:4" x14ac:dyDescent="0.3">
      <c r="A6" t="s">
        <v>104</v>
      </c>
      <c r="B6" s="5">
        <v>628.58000000000004</v>
      </c>
      <c r="C6" s="5"/>
      <c r="D6" t="s">
        <v>116</v>
      </c>
    </row>
    <row r="7" spans="1:4" x14ac:dyDescent="0.3">
      <c r="A7" t="s">
        <v>105</v>
      </c>
      <c r="B7" s="5"/>
      <c r="C7" s="5">
        <v>1740.68</v>
      </c>
      <c r="D7" t="s">
        <v>32</v>
      </c>
    </row>
    <row r="8" spans="1:4" x14ac:dyDescent="0.3">
      <c r="A8" t="s">
        <v>106</v>
      </c>
      <c r="B8" s="5"/>
      <c r="C8" s="5">
        <v>519.9</v>
      </c>
      <c r="D8" t="s">
        <v>117</v>
      </c>
    </row>
    <row r="10" spans="1:4" x14ac:dyDescent="0.3">
      <c r="A10" t="s">
        <v>108</v>
      </c>
    </row>
    <row r="11" spans="1:4" x14ac:dyDescent="0.3">
      <c r="A11" t="s">
        <v>109</v>
      </c>
    </row>
    <row r="12" spans="1:4" x14ac:dyDescent="0.3">
      <c r="A12" t="s">
        <v>110</v>
      </c>
    </row>
    <row r="13" spans="1:4" x14ac:dyDescent="0.3">
      <c r="A13" t="s">
        <v>111</v>
      </c>
    </row>
    <row r="14" spans="1:4" x14ac:dyDescent="0.3">
      <c r="A14" t="s">
        <v>112</v>
      </c>
    </row>
    <row r="15" spans="1:4" x14ac:dyDescent="0.3">
      <c r="A15" t="s">
        <v>113</v>
      </c>
    </row>
    <row r="17" spans="1:2" x14ac:dyDescent="0.3">
      <c r="A17" t="s">
        <v>114</v>
      </c>
      <c r="B17" s="5">
        <v>1632</v>
      </c>
    </row>
    <row r="18" spans="1:2" x14ac:dyDescent="0.3">
      <c r="A18" t="s">
        <v>115</v>
      </c>
      <c r="B18" s="5">
        <f>+C7-B6</f>
        <v>1112.0999999999999</v>
      </c>
    </row>
    <row r="19" spans="1:2" x14ac:dyDescent="0.3">
      <c r="B19" s="6">
        <f>+B17-B18</f>
        <v>519.90000000000009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6"/>
  <sheetViews>
    <sheetView workbookViewId="0"/>
  </sheetViews>
  <sheetFormatPr defaultRowHeight="14.4" x14ac:dyDescent="0.3"/>
  <cols>
    <col min="1" max="1" width="25.6640625" customWidth="1"/>
    <col min="2" max="2" width="14" customWidth="1"/>
    <col min="3" max="3" width="13" customWidth="1"/>
    <col min="4" max="4" width="11.33203125" customWidth="1"/>
    <col min="5" max="5" width="15.88671875" customWidth="1"/>
    <col min="6" max="6" width="9.109375" style="8"/>
  </cols>
  <sheetData>
    <row r="1" spans="1:6" x14ac:dyDescent="0.3">
      <c r="A1" s="11" t="str">
        <f>'FY 2024 2025'!$A$1</f>
        <v>AA Inc</v>
      </c>
    </row>
    <row r="2" spans="1:6" x14ac:dyDescent="0.3">
      <c r="A2" t="s">
        <v>0</v>
      </c>
    </row>
    <row r="3" spans="1:6" x14ac:dyDescent="0.3">
      <c r="A3" t="s">
        <v>1</v>
      </c>
    </row>
    <row r="5" spans="1:6" x14ac:dyDescent="0.3">
      <c r="B5" s="1" t="s">
        <v>8</v>
      </c>
      <c r="E5" s="1" t="s">
        <v>12</v>
      </c>
    </row>
    <row r="6" spans="1:6" x14ac:dyDescent="0.3">
      <c r="A6" t="s">
        <v>14</v>
      </c>
      <c r="B6" s="3" t="s">
        <v>9</v>
      </c>
      <c r="C6" s="4" t="s">
        <v>10</v>
      </c>
      <c r="D6" s="4" t="s">
        <v>11</v>
      </c>
      <c r="E6" s="3" t="s">
        <v>13</v>
      </c>
    </row>
    <row r="7" spans="1:6" x14ac:dyDescent="0.3">
      <c r="B7" s="2"/>
      <c r="C7" s="1"/>
      <c r="D7" s="1"/>
      <c r="E7" s="2"/>
    </row>
    <row r="8" spans="1:6" x14ac:dyDescent="0.3">
      <c r="A8" t="s">
        <v>20</v>
      </c>
      <c r="B8" s="5">
        <v>154835.32</v>
      </c>
      <c r="C8" s="5">
        <f>635.98+627.91+14152.04+1740.68+747+1628+31.6+1740.68+1730.08+2315+1730.08+1868.94+2222.15+566.04-2788.19</f>
        <v>28947.990000000005</v>
      </c>
      <c r="D8" s="5"/>
      <c r="E8" s="5">
        <f>SUM(B8:D8)</f>
        <v>183783.31</v>
      </c>
      <c r="F8" s="8" t="s">
        <v>17</v>
      </c>
    </row>
    <row r="9" spans="1:6" x14ac:dyDescent="0.3">
      <c r="A9" t="s">
        <v>2</v>
      </c>
      <c r="B9" s="5">
        <v>65557.72</v>
      </c>
      <c r="C9" s="5">
        <f>4673.65+1358.54+1183.96+106.13+304.39+13152+3760.38</f>
        <v>24539.05</v>
      </c>
      <c r="D9" s="5"/>
      <c r="E9" s="5">
        <f t="shared" ref="E9:E14" si="0">SUM(B9:D9)</f>
        <v>90096.77</v>
      </c>
      <c r="F9" s="8" t="s">
        <v>17</v>
      </c>
    </row>
    <row r="10" spans="1:6" x14ac:dyDescent="0.3">
      <c r="A10" t="s">
        <v>3</v>
      </c>
      <c r="B10" s="5">
        <v>27877</v>
      </c>
      <c r="C10" s="5"/>
      <c r="D10" s="5">
        <v>-27877</v>
      </c>
      <c r="E10" s="5">
        <f t="shared" si="0"/>
        <v>0</v>
      </c>
      <c r="F10" s="8" t="s">
        <v>17</v>
      </c>
    </row>
    <row r="11" spans="1:6" x14ac:dyDescent="0.3">
      <c r="A11" t="s">
        <v>4</v>
      </c>
      <c r="B11" s="5">
        <v>227943.2</v>
      </c>
      <c r="C11" s="5"/>
      <c r="D11" s="5"/>
      <c r="E11" s="5">
        <f t="shared" si="0"/>
        <v>227943.2</v>
      </c>
      <c r="F11" s="8" t="s">
        <v>17</v>
      </c>
    </row>
    <row r="12" spans="1:6" x14ac:dyDescent="0.3">
      <c r="A12" t="s">
        <v>5</v>
      </c>
      <c r="B12" s="5">
        <v>1816837.76</v>
      </c>
      <c r="C12" s="5">
        <f>2632+10026+935.68+7364+7443+3625+3625+622.5-622.5</f>
        <v>35650.68</v>
      </c>
      <c r="D12" s="5"/>
      <c r="E12" s="5">
        <f t="shared" si="0"/>
        <v>1852488.44</v>
      </c>
      <c r="F12" s="8" t="s">
        <v>17</v>
      </c>
    </row>
    <row r="13" spans="1:6" x14ac:dyDescent="0.3">
      <c r="A13" t="s">
        <v>6</v>
      </c>
      <c r="B13" s="5">
        <v>82196</v>
      </c>
      <c r="C13" s="5"/>
      <c r="D13" s="5"/>
      <c r="E13" s="5">
        <f t="shared" si="0"/>
        <v>82196</v>
      </c>
      <c r="F13" s="8" t="s">
        <v>17</v>
      </c>
    </row>
    <row r="14" spans="1:6" x14ac:dyDescent="0.3">
      <c r="A14" t="s">
        <v>7</v>
      </c>
      <c r="B14" s="5">
        <v>128200</v>
      </c>
      <c r="C14" s="5"/>
      <c r="D14" s="5"/>
      <c r="E14" s="5">
        <f t="shared" si="0"/>
        <v>128200</v>
      </c>
      <c r="F14" s="8" t="s">
        <v>17</v>
      </c>
    </row>
    <row r="15" spans="1:6" x14ac:dyDescent="0.3">
      <c r="B15" s="6">
        <f>SUM(B8:B14)</f>
        <v>2503447</v>
      </c>
      <c r="C15" s="6">
        <f t="shared" ref="C15:E15" si="1">SUM(C8:C14)</f>
        <v>89137.72</v>
      </c>
      <c r="D15" s="6">
        <f t="shared" si="1"/>
        <v>-27877</v>
      </c>
      <c r="E15" s="6">
        <f t="shared" si="1"/>
        <v>2564707.7199999997</v>
      </c>
    </row>
    <row r="18" spans="1:6" x14ac:dyDescent="0.3">
      <c r="B18" s="1" t="s">
        <v>8</v>
      </c>
      <c r="E18" s="1" t="s">
        <v>12</v>
      </c>
    </row>
    <row r="19" spans="1:6" x14ac:dyDescent="0.3">
      <c r="A19" t="s">
        <v>15</v>
      </c>
      <c r="B19" s="3" t="s">
        <v>9</v>
      </c>
      <c r="C19" s="4" t="s">
        <v>10</v>
      </c>
      <c r="D19" s="4" t="s">
        <v>11</v>
      </c>
      <c r="E19" s="3" t="s">
        <v>13</v>
      </c>
    </row>
    <row r="20" spans="1:6" x14ac:dyDescent="0.3">
      <c r="B20" s="2"/>
      <c r="C20" s="1"/>
      <c r="D20" s="1"/>
      <c r="E20" s="2"/>
    </row>
    <row r="21" spans="1:6" x14ac:dyDescent="0.3">
      <c r="A21" t="s">
        <v>36</v>
      </c>
      <c r="B21" s="5">
        <v>-90774.11</v>
      </c>
      <c r="C21" s="5">
        <f>-2508.11-2525.71-2864.79-2864.76-2864.76-2864.83-2588.13-276.73-2903.44-2954.74-2986.85-2986.77-56.19-2882.08</f>
        <v>-34127.89</v>
      </c>
      <c r="D21" s="5"/>
      <c r="E21" s="5">
        <f>SUM(B21:D21)</f>
        <v>-124902</v>
      </c>
      <c r="F21" s="8" t="s">
        <v>17</v>
      </c>
    </row>
    <row r="22" spans="1:6" x14ac:dyDescent="0.3">
      <c r="A22" t="s">
        <v>37</v>
      </c>
      <c r="B22" s="5">
        <v>-23357.45</v>
      </c>
      <c r="C22" s="5">
        <f>-464.19-658.25-658.26-658.3-658.26-658.28-658.25-658.26-958.37-117.29-657.72-657.66-657.71</f>
        <v>-8120.8</v>
      </c>
      <c r="D22" s="5"/>
      <c r="E22" s="5">
        <f t="shared" ref="E22:E26" si="2">SUM(B22:D22)</f>
        <v>-31478.25</v>
      </c>
      <c r="F22" s="8" t="s">
        <v>17</v>
      </c>
    </row>
    <row r="23" spans="1:6" x14ac:dyDescent="0.3">
      <c r="A23" t="s">
        <v>3</v>
      </c>
      <c r="B23" s="5">
        <v>-18486.96</v>
      </c>
      <c r="C23" s="5">
        <f>-608.32-608.32</f>
        <v>-1216.6400000000001</v>
      </c>
      <c r="D23" s="5">
        <v>19703.599999999999</v>
      </c>
      <c r="E23" s="5">
        <f t="shared" si="2"/>
        <v>0</v>
      </c>
      <c r="F23" s="8" t="s">
        <v>17</v>
      </c>
    </row>
    <row r="24" spans="1:6" x14ac:dyDescent="0.3">
      <c r="A24" t="s">
        <v>38</v>
      </c>
      <c r="B24" s="5">
        <v>-227943.2</v>
      </c>
      <c r="D24" s="5"/>
      <c r="E24" s="5">
        <f t="shared" si="2"/>
        <v>-227943.2</v>
      </c>
      <c r="F24" s="8" t="s">
        <v>17</v>
      </c>
    </row>
    <row r="25" spans="1:6" x14ac:dyDescent="0.3">
      <c r="A25" t="s">
        <v>39</v>
      </c>
      <c r="B25" s="5">
        <v>-757513.08</v>
      </c>
      <c r="C25" s="5">
        <f>-14956.53-14956.49-14976.27-15059.79-15067.61-15128.94-15839.14-15102.22-21926.82-217.71-10768.48-14891.06-14951.47</f>
        <v>-183842.53</v>
      </c>
      <c r="D25" s="5"/>
      <c r="E25" s="5">
        <f t="shared" si="2"/>
        <v>-941355.61</v>
      </c>
      <c r="F25" s="8" t="s">
        <v>17</v>
      </c>
    </row>
    <row r="26" spans="1:6" x14ac:dyDescent="0.3">
      <c r="A26" t="s">
        <v>40</v>
      </c>
      <c r="B26" s="5">
        <v>-1712.42</v>
      </c>
      <c r="C26" s="5">
        <f>-171.24-171.24-171.25-171.24-171.24-171.24-171.24-171.24-171.25-171.24-171.24-171.24</f>
        <v>-2054.9</v>
      </c>
      <c r="D26" s="5"/>
      <c r="E26" s="5">
        <f t="shared" si="2"/>
        <v>-3767.32</v>
      </c>
      <c r="F26" s="8" t="s">
        <v>17</v>
      </c>
    </row>
    <row r="27" spans="1:6" x14ac:dyDescent="0.3">
      <c r="B27" s="6">
        <f>SUM(B21:B26)</f>
        <v>-1119787.2199999997</v>
      </c>
      <c r="C27" s="6">
        <f>SUM(C21:C26)</f>
        <v>-229362.75999999998</v>
      </c>
      <c r="D27" s="6">
        <f>SUM(D21:D26)</f>
        <v>19703.599999999999</v>
      </c>
      <c r="E27" s="6">
        <f>SUM(E21:E26)</f>
        <v>-1329446.3800000001</v>
      </c>
    </row>
    <row r="29" spans="1:6" ht="15" thickBot="1" x14ac:dyDescent="0.35">
      <c r="A29" s="7" t="s">
        <v>16</v>
      </c>
      <c r="B29" s="10">
        <f>+B15+B27</f>
        <v>1383659.7800000003</v>
      </c>
      <c r="C29" s="10">
        <f>+C15+C27</f>
        <v>-140225.03999999998</v>
      </c>
      <c r="D29" s="10">
        <f>+D15+D27</f>
        <v>-8173.4000000000015</v>
      </c>
      <c r="E29" s="20">
        <f>+E15+E27</f>
        <v>1235261.3399999996</v>
      </c>
      <c r="F29" s="21" t="s">
        <v>41</v>
      </c>
    </row>
    <row r="30" spans="1:6" ht="15" thickTop="1" x14ac:dyDescent="0.3">
      <c r="B30" s="8" t="s">
        <v>43</v>
      </c>
      <c r="E30" s="8"/>
    </row>
    <row r="34" spans="1:1" x14ac:dyDescent="0.3">
      <c r="A34" s="9" t="s">
        <v>44</v>
      </c>
    </row>
    <row r="35" spans="1:1" x14ac:dyDescent="0.3">
      <c r="A35" s="9" t="s">
        <v>42</v>
      </c>
    </row>
    <row r="36" spans="1:1" x14ac:dyDescent="0.3">
      <c r="A36" s="9" t="s">
        <v>18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"/>
  <sheetViews>
    <sheetView workbookViewId="0"/>
  </sheetViews>
  <sheetFormatPr defaultRowHeight="14.4" x14ac:dyDescent="0.3"/>
  <cols>
    <col min="1" max="1" width="14" style="11" customWidth="1"/>
    <col min="2" max="2" width="21.6640625" customWidth="1"/>
    <col min="3" max="3" width="31.6640625" customWidth="1"/>
    <col min="4" max="4" width="15.88671875" style="1" customWidth="1"/>
    <col min="5" max="5" width="11.6640625" style="5" customWidth="1"/>
    <col min="6" max="6" width="11.6640625" style="17" customWidth="1"/>
    <col min="7" max="7" width="14.33203125" style="1" customWidth="1"/>
  </cols>
  <sheetData>
    <row r="1" spans="1:7" x14ac:dyDescent="0.3">
      <c r="A1" s="11" t="str">
        <f>'FY 2024 2025'!$A$1</f>
        <v>AA Inc</v>
      </c>
    </row>
    <row r="2" spans="1:7" x14ac:dyDescent="0.3">
      <c r="A2" s="11" t="s">
        <v>6</v>
      </c>
    </row>
    <row r="3" spans="1:7" x14ac:dyDescent="0.3">
      <c r="A3" s="11" t="s">
        <v>192</v>
      </c>
    </row>
    <row r="5" spans="1:7" x14ac:dyDescent="0.3">
      <c r="A5" s="18"/>
    </row>
    <row r="6" spans="1:7" x14ac:dyDescent="0.3">
      <c r="A6" s="13" t="s">
        <v>21</v>
      </c>
      <c r="B6" s="14" t="s">
        <v>22</v>
      </c>
      <c r="C6" s="14" t="s">
        <v>23</v>
      </c>
      <c r="D6" s="4" t="s">
        <v>29</v>
      </c>
      <c r="E6" s="15" t="s">
        <v>24</v>
      </c>
      <c r="F6" s="16" t="s">
        <v>27</v>
      </c>
      <c r="G6" s="4" t="s">
        <v>25</v>
      </c>
    </row>
    <row r="8" spans="1:7" x14ac:dyDescent="0.3">
      <c r="A8" s="12">
        <v>42247</v>
      </c>
      <c r="C8" t="s">
        <v>103</v>
      </c>
      <c r="E8" s="5">
        <v>-82196</v>
      </c>
      <c r="F8" s="19"/>
    </row>
    <row r="9" spans="1:7" x14ac:dyDescent="0.3">
      <c r="A9" s="12"/>
      <c r="F9" s="19"/>
    </row>
    <row r="10" spans="1:7" x14ac:dyDescent="0.3">
      <c r="E10" s="6">
        <f>SUM(E8:E9)</f>
        <v>-82196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"/>
  <sheetViews>
    <sheetView workbookViewId="0">
      <selection activeCell="C15" sqref="C15"/>
    </sheetView>
  </sheetViews>
  <sheetFormatPr defaultRowHeight="14.4" x14ac:dyDescent="0.3"/>
  <cols>
    <col min="1" max="1" width="14" style="11" customWidth="1"/>
    <col min="2" max="2" width="21.6640625" customWidth="1"/>
    <col min="3" max="3" width="31.6640625" customWidth="1"/>
    <col min="4" max="4" width="15.88671875" style="1" customWidth="1"/>
    <col min="5" max="5" width="11.6640625" style="5" customWidth="1"/>
    <col min="6" max="6" width="11.6640625" style="17" customWidth="1"/>
    <col min="7" max="7" width="14.33203125" style="1" customWidth="1"/>
  </cols>
  <sheetData>
    <row r="1" spans="1:7" x14ac:dyDescent="0.3">
      <c r="A1" s="11" t="str">
        <f>'FY 2024 2025'!$A$1</f>
        <v>AA Inc</v>
      </c>
    </row>
    <row r="2" spans="1:7" x14ac:dyDescent="0.3">
      <c r="A2" s="11" t="s">
        <v>7</v>
      </c>
    </row>
    <row r="3" spans="1:7" x14ac:dyDescent="0.3">
      <c r="A3" s="11" t="s">
        <v>190</v>
      </c>
    </row>
    <row r="5" spans="1:7" x14ac:dyDescent="0.3">
      <c r="A5" s="18"/>
    </row>
    <row r="6" spans="1:7" x14ac:dyDescent="0.3">
      <c r="A6" s="13" t="s">
        <v>21</v>
      </c>
      <c r="B6" s="14" t="s">
        <v>22</v>
      </c>
      <c r="C6" s="14" t="s">
        <v>23</v>
      </c>
      <c r="D6" s="4" t="s">
        <v>29</v>
      </c>
      <c r="E6" s="15" t="s">
        <v>24</v>
      </c>
      <c r="F6" s="16" t="s">
        <v>27</v>
      </c>
      <c r="G6" s="4" t="s">
        <v>25</v>
      </c>
    </row>
    <row r="7" spans="1:7" x14ac:dyDescent="0.3">
      <c r="E7" s="46"/>
    </row>
    <row r="8" spans="1:7" x14ac:dyDescent="0.3">
      <c r="A8" s="12">
        <v>42247</v>
      </c>
      <c r="C8" t="s">
        <v>103</v>
      </c>
      <c r="E8" s="5">
        <v>-128200</v>
      </c>
      <c r="F8" s="19"/>
    </row>
    <row r="9" spans="1:7" x14ac:dyDescent="0.3">
      <c r="A9" s="12"/>
      <c r="F9" s="19"/>
    </row>
    <row r="10" spans="1:7" x14ac:dyDescent="0.3">
      <c r="E10" s="6">
        <f>SUM(E8:E9)</f>
        <v>-128200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</vt:i4>
      </vt:variant>
    </vt:vector>
  </HeadingPairs>
  <TitlesOfParts>
    <vt:vector size="31" baseType="lpstr">
      <vt:lpstr>FY 2024 2025</vt:lpstr>
      <vt:lpstr>Office &amp; Computer Equip</vt:lpstr>
      <vt:lpstr>F&amp;F</vt:lpstr>
      <vt:lpstr>Plant Equip</vt:lpstr>
      <vt:lpstr>LH Improvement</vt:lpstr>
      <vt:lpstr>Disposals FY 2024 2025</vt:lpstr>
      <vt:lpstr>FY 2023 2024</vt:lpstr>
      <vt:lpstr>Disposals FY 2023 2024</vt:lpstr>
      <vt:lpstr>FY 2022 2023</vt:lpstr>
      <vt:lpstr>Disposals FY 2022 2023</vt:lpstr>
      <vt:lpstr>FY 2021 2022</vt:lpstr>
      <vt:lpstr>Disposal FY 2021 2022</vt:lpstr>
      <vt:lpstr>FY 2020 2021</vt:lpstr>
      <vt:lpstr>Disposal FY 2020 2021</vt:lpstr>
      <vt:lpstr>FY 2019 2020</vt:lpstr>
      <vt:lpstr>Disposal FY 2019 2020</vt:lpstr>
      <vt:lpstr>FY 2018 2019</vt:lpstr>
      <vt:lpstr>Disposal FY 2018 2019</vt:lpstr>
      <vt:lpstr>FY 2017 2018</vt:lpstr>
      <vt:lpstr>Disposal FY 2017 2018</vt:lpstr>
      <vt:lpstr>Apr to May reconcile</vt:lpstr>
      <vt:lpstr>FY 2016 2017</vt:lpstr>
      <vt:lpstr>Disposal FY 2016 2017</vt:lpstr>
      <vt:lpstr>FY 2015 2016</vt:lpstr>
      <vt:lpstr>Disposal FY 2015 2016</vt:lpstr>
      <vt:lpstr>FY 2014 2015</vt:lpstr>
      <vt:lpstr>Disposal FY 2014 2015</vt:lpstr>
      <vt:lpstr>FY 2013 2014</vt:lpstr>
      <vt:lpstr>Buildings</vt:lpstr>
      <vt:lpstr>Land</vt:lpstr>
      <vt:lpstr>'Apr to May reconcile'!Print_Titles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Briggs</dc:creator>
  <cp:lastModifiedBy>Sejin Park</cp:lastModifiedBy>
  <cp:lastPrinted>2025-03-26T13:40:20Z</cp:lastPrinted>
  <dcterms:created xsi:type="dcterms:W3CDTF">2014-02-12T13:57:38Z</dcterms:created>
  <dcterms:modified xsi:type="dcterms:W3CDTF">2025-12-02T13:59:52Z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2022-09-12T19:09:20Z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5b1f0ffe-435b-4cb5-8d33-b228f886b5e7</vt:lpwstr>
  </property>
  <property fmtid="{D5CDD505-2E9C-101B-9397-08002B2CF9AE}" pid="7" name="MSIP_Label_defa4170-0d19-0005-0004-bc88714345d2_ActionId">
    <vt:lpwstr>526c73e8-c9b2-43fe-b141-8bb153aeaf8d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Version">
    <vt:i4>20</vt:i4>
  </property>
  <property fmtid="{D5CDD505-2E9C-101B-9397-08002B2CF9AE}" pid="10" name="tabName">
    <vt:lpwstr>Income Taxes</vt:lpwstr>
  </property>
  <property fmtid="{D5CDD505-2E9C-101B-9397-08002B2CF9AE}" pid="11" name="tabIndex">
    <vt:lpwstr>6500</vt:lpwstr>
  </property>
  <property fmtid="{D5CDD505-2E9C-101B-9397-08002B2CF9AE}" pid="12" name="workpaperIndex">
    <vt:lpwstr>6522</vt:lpwstr>
  </property>
</Properties>
</file>